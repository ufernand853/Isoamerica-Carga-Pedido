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Planilla pedido MAUA 10.12.25\"/>
    </mc:Choice>
  </mc:AlternateContent>
  <xr:revisionPtr revIDLastSave="0" documentId="13_ncr:1_{A51B7AB2-DF99-4087-90E0-397EEABDE24B}" xr6:coauthVersionLast="47" xr6:coauthVersionMax="47" xr10:uidLastSave="{00000000-0000-0000-0000-000000000000}"/>
  <bookViews>
    <workbookView xWindow="-120" yWindow="-120" windowWidth="29040" windowHeight="15720" xr2:uid="{0A571C4F-9421-4C55-81FA-57EDAC240DE4}"/>
  </bookViews>
  <sheets>
    <sheet name="Planilha1" sheetId="1" r:id="rId1"/>
  </sheets>
  <definedNames>
    <definedName name="_xlnm._FilterDatabase" localSheetId="0">Planilha1!$A$1:$K$142</definedName>
    <definedName name="_xlnm.Print_Area" localSheetId="0">Planilha1!$M$1:$T$122</definedName>
    <definedName name="_xlnm.Print_Titles" localSheetId="0">Planilha1!$1:$6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1" l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Q36" i="1"/>
  <c r="Q37" i="1"/>
  <c r="Q38" i="1"/>
  <c r="Q39" i="1"/>
  <c r="Q40" i="1"/>
  <c r="Q41" i="1"/>
  <c r="Q42" i="1"/>
  <c r="Q43" i="1"/>
  <c r="Q44" i="1"/>
  <c r="Q45" i="1"/>
  <c r="S36" i="1"/>
  <c r="S37" i="1"/>
  <c r="S38" i="1"/>
  <c r="S39" i="1"/>
  <c r="S40" i="1"/>
  <c r="S41" i="1"/>
  <c r="S42" i="1"/>
  <c r="S43" i="1"/>
  <c r="S44" i="1"/>
  <c r="S45" i="1"/>
  <c r="K36" i="1"/>
  <c r="K37" i="1"/>
  <c r="K38" i="1"/>
  <c r="K39" i="1"/>
  <c r="K40" i="1"/>
  <c r="K41" i="1"/>
  <c r="K42" i="1"/>
  <c r="K43" i="1"/>
  <c r="K44" i="1"/>
  <c r="K45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7" i="1"/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7" i="1"/>
  <c r="S14" i="1"/>
  <c r="J117" i="1" l="1"/>
  <c r="S13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8" i="1" l="1"/>
  <c r="S9" i="1"/>
  <c r="S10" i="1"/>
  <c r="S11" i="1"/>
  <c r="S12" i="1"/>
  <c r="S7" i="1"/>
  <c r="J118" i="1" l="1"/>
</calcChain>
</file>

<file path=xl/sharedStrings.xml><?xml version="1.0" encoding="utf-8"?>
<sst xmlns="http://schemas.openxmlformats.org/spreadsheetml/2006/main" count="281" uniqueCount="164">
  <si>
    <t xml:space="preserve">Porto Embarque: Zona Franca de Florida Uruguai </t>
  </si>
  <si>
    <t>Importador:</t>
  </si>
  <si>
    <t>Endereço:</t>
  </si>
  <si>
    <t xml:space="preserve">CNPJ: </t>
  </si>
  <si>
    <t>Exportacion</t>
  </si>
  <si>
    <t>Moneda</t>
  </si>
  <si>
    <t>USD</t>
  </si>
  <si>
    <t>Exportacion Moneda USD</t>
  </si>
  <si>
    <t>Factura Comercial</t>
  </si>
  <si>
    <t>Packing List</t>
  </si>
  <si>
    <t>Declaración Adicional</t>
  </si>
  <si>
    <t>Item</t>
  </si>
  <si>
    <t>Unidade</t>
  </si>
  <si>
    <t>EAN - Cod Barras</t>
  </si>
  <si>
    <t>Codigo Principal</t>
  </si>
  <si>
    <t>Descrição</t>
  </si>
  <si>
    <t>Marca</t>
  </si>
  <si>
    <t>Pais de Origem</t>
  </si>
  <si>
    <t>NCM</t>
  </si>
  <si>
    <t>Valor Unitario US$</t>
  </si>
  <si>
    <t xml:space="preserve">Valor Total US$ </t>
  </si>
  <si>
    <t>Fatura Original</t>
  </si>
  <si>
    <t>Quantidade</t>
  </si>
  <si>
    <t>Tipo</t>
  </si>
  <si>
    <t>Pack</t>
  </si>
  <si>
    <t>Peso Neto Unitario</t>
  </si>
  <si>
    <t>Peso Neto Total</t>
  </si>
  <si>
    <t>Peso Bruto Total</t>
  </si>
  <si>
    <t>Nome do Fabricante - Razão Social</t>
  </si>
  <si>
    <t>Endereço do Fabricante - Rua - Numero - Cidade - Estado - CEP</t>
  </si>
  <si>
    <t>TOTAL U$S</t>
  </si>
  <si>
    <t>Total FCA U$S</t>
  </si>
  <si>
    <t xml:space="preserve">                                  Por ISOAMERICA S.A.</t>
  </si>
  <si>
    <t>País de aquisição - URUGUAY</t>
  </si>
  <si>
    <t>BULTOS</t>
  </si>
  <si>
    <t>Pais de procedência - URUGUAY</t>
  </si>
  <si>
    <t>PESO NETO</t>
  </si>
  <si>
    <t xml:space="preserve">kg </t>
  </si>
  <si>
    <t>Incoterm: FCA Zona Franca Florida</t>
  </si>
  <si>
    <t>PESO BRUTO</t>
  </si>
  <si>
    <t xml:space="preserve">Condiciones de Pago: Crédito 50% 30 dias, 50% 60 dias </t>
  </si>
  <si>
    <t>DIRECCIÓN: 18 DE JULIO 999 - Montevideo, Uruguay</t>
  </si>
  <si>
    <t>Por ISOAMERICA S.A.</t>
  </si>
  <si>
    <t>Quant.</t>
  </si>
  <si>
    <r>
      <t xml:space="preserve">RUT Emissor: 217434460017 </t>
    </r>
    <r>
      <rPr>
        <sz val="12"/>
        <rFont val="Calibri"/>
        <family val="2"/>
      </rPr>
      <t xml:space="preserve">      
Isoamerica S.A.      
Ituzaingó al Sur S/N Zona Franca Florida.   
Florida, Uruguay.   
E-MAIL: info@isoamerica.com.uy                                                                                                                                </t>
    </r>
  </si>
  <si>
    <r>
      <t xml:space="preserve">REALIZAR GIRO EN FAVOR DE </t>
    </r>
    <r>
      <rPr>
        <b/>
        <sz val="8"/>
        <rFont val="Calibri"/>
        <family val="2"/>
      </rPr>
      <t>ISOAMERICA S.A.</t>
    </r>
  </si>
  <si>
    <r>
      <t xml:space="preserve">BANCO BENEFICIARIO: </t>
    </r>
    <r>
      <rPr>
        <b/>
        <sz val="8"/>
        <rFont val="Calibri"/>
        <family val="2"/>
      </rPr>
      <t>BANCO SANTANDER S.A.</t>
    </r>
  </si>
  <si>
    <r>
      <t>CUENTA CORRIENTE USD</t>
    </r>
    <r>
      <rPr>
        <b/>
        <sz val="8"/>
        <rFont val="Calibri"/>
        <family val="2"/>
      </rPr>
      <t xml:space="preserve"> N° 5100597553 - </t>
    </r>
    <r>
      <rPr>
        <sz val="8"/>
        <rFont val="Calibri"/>
        <family val="2"/>
      </rPr>
      <t>SUCURSAL</t>
    </r>
    <r>
      <rPr>
        <b/>
        <sz val="8"/>
        <rFont val="Calibri"/>
        <family val="2"/>
      </rPr>
      <t xml:space="preserve"> </t>
    </r>
    <r>
      <rPr>
        <sz val="8"/>
        <rFont val="Calibri"/>
        <family val="2"/>
      </rPr>
      <t>N°</t>
    </r>
    <r>
      <rPr>
        <b/>
        <sz val="8"/>
        <rFont val="Calibri"/>
        <family val="2"/>
      </rPr>
      <t xml:space="preserve"> 75</t>
    </r>
  </si>
  <si>
    <r>
      <t xml:space="preserve">SWIFT </t>
    </r>
    <r>
      <rPr>
        <b/>
        <sz val="8"/>
        <rFont val="Calibri"/>
        <family val="2"/>
      </rPr>
      <t>BSCHUYMM</t>
    </r>
  </si>
  <si>
    <t xml:space="preserve">Fecha: </t>
  </si>
  <si>
    <t>PALLET</t>
  </si>
  <si>
    <t xml:space="preserve">TOTAL BULTOS: 1 PALLET DE PLÁSTICO </t>
  </si>
  <si>
    <t>Peso Neto Total    304,45 kg</t>
  </si>
  <si>
    <t>Peso Bruto Total   350 kg</t>
  </si>
  <si>
    <t>Pallet de plástico</t>
  </si>
  <si>
    <t>Fatura:</t>
  </si>
  <si>
    <t>CNPJ:</t>
  </si>
  <si>
    <t>6290171072591</t>
  </si>
  <si>
    <t>6290171072836</t>
  </si>
  <si>
    <t>6290171072607</t>
  </si>
  <si>
    <t>6290171002338</t>
  </si>
  <si>
    <t>6290171075288</t>
  </si>
  <si>
    <t>6290171000983</t>
  </si>
  <si>
    <t>6290171002253</t>
  </si>
  <si>
    <t>6290171073000</t>
  </si>
  <si>
    <t>6290171073178</t>
  </si>
  <si>
    <t>6291108735411</t>
  </si>
  <si>
    <t>6290362340126</t>
  </si>
  <si>
    <t>6290362346135</t>
  </si>
  <si>
    <t>6290362340362</t>
  </si>
  <si>
    <t>6290360598666</t>
  </si>
  <si>
    <t>6291107456041</t>
  </si>
  <si>
    <t>6291107456058</t>
  </si>
  <si>
    <t>6290360593166</t>
  </si>
  <si>
    <t>6290362345817</t>
  </si>
  <si>
    <t>6423080727874</t>
  </si>
  <si>
    <t>6423080728925</t>
  </si>
  <si>
    <t>6291108730515</t>
  </si>
  <si>
    <t>6290360599168</t>
  </si>
  <si>
    <t>6290362340034</t>
  </si>
  <si>
    <t>6290360591421</t>
  </si>
  <si>
    <t>6290360594552</t>
  </si>
  <si>
    <t>8411114090092</t>
  </si>
  <si>
    <t>8411114089560</t>
  </si>
  <si>
    <t>8411114089751</t>
  </si>
  <si>
    <t>6290360590776</t>
  </si>
  <si>
    <t>AMA-ECHD5KDR</t>
  </si>
  <si>
    <t>AMA-ECHD5KOW</t>
  </si>
  <si>
    <t>AMA-ECHD5CH</t>
  </si>
  <si>
    <t>AMA-ECHD5WH</t>
  </si>
  <si>
    <t>AMA-EHPOPCH</t>
  </si>
  <si>
    <t>AMA-EHPOPLA</t>
  </si>
  <si>
    <t>AMA-EHPOPWH</t>
  </si>
  <si>
    <t>AMA-ECHSPBL</t>
  </si>
  <si>
    <t>AMA-ECHSPWH</t>
  </si>
  <si>
    <t>AMA-ECHS53BL</t>
  </si>
  <si>
    <t>AMA-ECHS53CH</t>
  </si>
  <si>
    <t>AMA-ECHS53WH</t>
  </si>
  <si>
    <t>AMA-ECHS83CH</t>
  </si>
  <si>
    <t>AMA-ECHS83WH</t>
  </si>
  <si>
    <t>APP-MQUE2ZMA</t>
  </si>
  <si>
    <t>APP-MQGJ2ZMA</t>
  </si>
  <si>
    <t>APP-MKQ42ZMA</t>
  </si>
  <si>
    <t>APP-MQKJ3AMA</t>
  </si>
  <si>
    <t xml:space="preserve">APP-MD819ZMA  </t>
  </si>
  <si>
    <t xml:space="preserve">APP-MLL82ZMA  </t>
  </si>
  <si>
    <t xml:space="preserve">APP-MU2G3AMA  </t>
  </si>
  <si>
    <t xml:space="preserve">APP-MD4A4LLA  </t>
  </si>
  <si>
    <t xml:space="preserve">APP-MD3Y4LLA  </t>
  </si>
  <si>
    <t>CIC-CLP3</t>
  </si>
  <si>
    <t>HK-LUNABK</t>
  </si>
  <si>
    <t>HK-LUNAGR</t>
  </si>
  <si>
    <t>HK-OS9BLKAM</t>
  </si>
  <si>
    <t>JBL-SB550BK</t>
  </si>
  <si>
    <t>JBL-SB580BK</t>
  </si>
  <si>
    <t>JBL-GRIPBLK</t>
  </si>
  <si>
    <t>JBL-GRIPBLU</t>
  </si>
  <si>
    <t>JBL-GRIPRED</t>
  </si>
  <si>
    <t>JBL-PBENES2</t>
  </si>
  <si>
    <t>JBL-PBCL120</t>
  </si>
  <si>
    <t>JBL-PBST320WH</t>
  </si>
  <si>
    <t>JBL-GO4BL</t>
  </si>
  <si>
    <t>JBL-GO4WH</t>
  </si>
  <si>
    <t>JBL-BOOM3BK</t>
  </si>
  <si>
    <t>JBL-BOOM3SQ</t>
  </si>
  <si>
    <t>JBL-BOOM4BK</t>
  </si>
  <si>
    <t>JBL-CH5BK</t>
  </si>
  <si>
    <t>JBL-CH6PU</t>
  </si>
  <si>
    <t>JBL-CLIP5BK</t>
  </si>
  <si>
    <t>JBL-CLIP5BL</t>
  </si>
  <si>
    <t>JBL-CLIP5RD</t>
  </si>
  <si>
    <t>JBL-CLIP5WH</t>
  </si>
  <si>
    <t>JBL-FLIP7PI</t>
  </si>
  <si>
    <t>JBL-FLIP7PU</t>
  </si>
  <si>
    <t>JBL-FLIP7SQ</t>
  </si>
  <si>
    <t>AC-AG15-51P</t>
  </si>
  <si>
    <t>NIN-SWOLNE</t>
  </si>
  <si>
    <t>NIN-SWOLWH</t>
  </si>
  <si>
    <t>NIN-SWNGR</t>
  </si>
  <si>
    <t>NIN-SWNNE</t>
  </si>
  <si>
    <t>AM-BIP6BK</t>
  </si>
  <si>
    <t>XI-TRX3BK</t>
  </si>
  <si>
    <t>PS5S-DIGCBO6</t>
  </si>
  <si>
    <t>PS5S-DIGT7AS</t>
  </si>
  <si>
    <t>PS5S-DISCT7AS</t>
  </si>
  <si>
    <t>XI-S200GR</t>
  </si>
  <si>
    <t>XI-S200WH</t>
  </si>
  <si>
    <t>XI-M7P8256SL</t>
  </si>
  <si>
    <t>XI-PX7P512BK</t>
  </si>
  <si>
    <t>XI-R158256BK</t>
  </si>
  <si>
    <t>XI-R15C8256GR</t>
  </si>
  <si>
    <t xml:space="preserve">XI-PC85256BK  </t>
  </si>
  <si>
    <t>XI-RB6ACBK</t>
  </si>
  <si>
    <t>XI-RB6ACBL</t>
  </si>
  <si>
    <t>XI-RB6ACTP</t>
  </si>
  <si>
    <t>XI-RB6ACWH</t>
  </si>
  <si>
    <t>XI-RB6PLBK</t>
  </si>
  <si>
    <t>XI-RB6PLBL</t>
  </si>
  <si>
    <t>XI-RB6PLWH</t>
  </si>
  <si>
    <t>XI-N14P5G512G</t>
  </si>
  <si>
    <t>XI-WA5ACBK</t>
  </si>
  <si>
    <t>XI-WA5ACSL</t>
  </si>
  <si>
    <t>XI-WA5LIGD</t>
  </si>
  <si>
    <t>XI-X20+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</si>
</sst>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;[Red]0.00"/>
  </numFmts>
  <fonts count="20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8"/>
      <name val="Tahoma"/>
      <family val="2"/>
    </font>
    <font>
      <sz val="8"/>
      <name val="Calibri"/>
      <family val="2"/>
      <charset val="1"/>
    </font>
    <font>
      <b/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6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sz val="10"/>
      <color rgb="FF000000"/>
      <name val="Calibri"/>
      <family val="2"/>
      <charset val="1"/>
    </font>
    <font>
      <sz val="10"/>
      <color rgb="FF21212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C7E7"/>
        <bgColor rgb="FFBFBFBF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BFBFBF"/>
        <bgColor rgb="FFB4C7E7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C5E0B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19">
    <xf numFmtId="0" fontId="0" fillId="0" borderId="0" xfId="0"/>
    <xf numFmtId="1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wrapText="1"/>
    </xf>
    <xf numFmtId="0" fontId="7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  <protection locked="0"/>
    </xf>
    <xf numFmtId="49" fontId="7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6" fillId="6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3" fillId="0" borderId="0" xfId="0" applyFont="1"/>
    <xf numFmtId="0" fontId="1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4" fontId="16" fillId="0" borderId="4" xfId="0" applyNumberFormat="1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4" xfId="0" applyFont="1" applyBorder="1"/>
    <xf numFmtId="0" fontId="16" fillId="0" borderId="5" xfId="0" applyFont="1" applyBorder="1"/>
    <xf numFmtId="0" fontId="6" fillId="6" borderId="3" xfId="0" applyFont="1" applyFill="1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wrapText="1"/>
    </xf>
    <xf numFmtId="165" fontId="3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164" fontId="17" fillId="0" borderId="3" xfId="0" applyNumberFormat="1" applyFont="1" applyBorder="1"/>
    <xf numFmtId="2" fontId="8" fillId="0" borderId="3" xfId="0" applyNumberFormat="1" applyFont="1" applyBorder="1"/>
    <xf numFmtId="0" fontId="16" fillId="0" borderId="0" xfId="0" applyFont="1" applyAlignment="1">
      <alignment wrapText="1"/>
    </xf>
    <xf numFmtId="2" fontId="8" fillId="0" borderId="0" xfId="0" applyNumberFormat="1" applyFont="1"/>
    <xf numFmtId="3" fontId="8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164" fontId="8" fillId="0" borderId="0" xfId="0" applyNumberFormat="1" applyFont="1"/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0" xfId="0" applyFont="1"/>
    <xf numFmtId="0" fontId="3" fillId="0" borderId="8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vertical="center"/>
    </xf>
    <xf numFmtId="2" fontId="7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6" fillId="0" borderId="9" xfId="0" applyFont="1" applyBorder="1"/>
    <xf numFmtId="0" fontId="16" fillId="0" borderId="8" xfId="0" applyFont="1" applyBorder="1"/>
    <xf numFmtId="14" fontId="16" fillId="0" borderId="5" xfId="0" applyNumberFormat="1" applyFont="1" applyBorder="1" applyAlignment="1">
      <alignment horizontal="center"/>
    </xf>
    <xf numFmtId="0" fontId="14" fillId="0" borderId="9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18" fillId="0" borderId="3" xfId="0" applyFont="1" applyBorder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2" fontId="7" fillId="0" borderId="1" xfId="0" applyNumberFormat="1" applyFont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19" fillId="0" borderId="3" xfId="0" applyFont="1" applyBorder="1" applyAlignment="1">
      <alignment vertical="center"/>
    </xf>
    <xf numFmtId="1" fontId="19" fillId="0" borderId="3" xfId="0" applyNumberFormat="1" applyFont="1" applyBorder="1" applyAlignment="1">
      <alignment horizontal="center" vertical="center"/>
    </xf>
    <xf numFmtId="0" fontId="16" fillId="0" borderId="6" xfId="0" applyFont="1" applyBorder="1"/>
    <xf numFmtId="0" fontId="16" fillId="0" borderId="12" xfId="0" applyFont="1" applyBorder="1"/>
    <xf numFmtId="0" fontId="16" fillId="0" borderId="13" xfId="0" applyFont="1" applyBorder="1"/>
    <xf numFmtId="49" fontId="3" fillId="0" borderId="3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1" fontId="18" fillId="0" borderId="3" xfId="0" applyNumberFormat="1" applyFont="1" applyBorder="1" applyAlignment="1">
      <alignment horizontal="center"/>
    </xf>
    <xf numFmtId="0" fontId="12" fillId="0" borderId="1" xfId="0" applyFont="1" applyBorder="1" applyAlignment="1">
      <alignment horizontal="righ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0" fontId="15" fillId="5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4" fontId="14" fillId="0" borderId="3" xfId="0" applyNumberFormat="1" applyFont="1" applyBorder="1" applyAlignment="1">
      <alignment horizontal="center"/>
    </xf>
    <xf numFmtId="4" fontId="14" fillId="0" borderId="7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7F2F2450-CD94-495E-93B1-5D6294AF9FE0}"/>
    <cellStyle name="Normal 3" xfId="1" xr:uid="{60048034-FE49-4D25-99E1-8E954742AA4F}"/>
    <cellStyle name="Normal 4" xfId="3" xr:uid="{B1EBC9D5-6AF3-4530-B8F1-7D3D60F592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235324</xdr:colOff>
      <xdr:row>0</xdr:row>
      <xdr:rowOff>395831</xdr:rowOff>
    </xdr:from>
    <xdr:to>
      <xdr:col>4</xdr:col>
      <xdr:colOff>482559</xdr:colOff>
      <xdr:row>0</xdr:row>
      <xdr:rowOff>872316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2CF8BD4-E3DA-4715-A5EB-BDB14034BD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4" y="395831"/>
          <a:ext cx="2533235" cy="47648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264459</xdr:colOff>
      <xdr:row>0</xdr:row>
      <xdr:rowOff>391349</xdr:rowOff>
    </xdr:from>
    <xdr:to>
      <xdr:col>16</xdr:col>
      <xdr:colOff>702194</xdr:colOff>
      <xdr:row>0</xdr:row>
      <xdr:rowOff>867834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2A6D765B-CF5E-4A4D-B19A-FE2EB07CB3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431871" y="391349"/>
          <a:ext cx="2533235" cy="47648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5994-A803-4504-AE0E-436089A5828F}">
  <sheetPr>
    <pageSetUpPr fitToPage="1"/>
  </sheetPr>
  <dimension ref="A1:Z142"/>
  <sheetViews>
    <sheetView tabSelected="1" topLeftCell="A25" zoomScale="85" zoomScaleNormal="85" workbookViewId="0">
      <selection activeCell="C46" sqref="C46:C116"/>
    </sheetView>
  </sheetViews>
  <sheetFormatPr baseColWidth="10" defaultColWidth="8.85546875" defaultRowHeight="15" x14ac:dyDescent="0.25"/>
  <cols>
    <col min="1" max="1" width="6.140625" style="20" customWidth="1"/>
    <col min="2" max="2" width="6.28515625" style="20" bestFit="1" customWidth="1"/>
    <col min="3" max="3" width="7.5703125" style="20" customWidth="1"/>
    <col min="4" max="4" width="14.28515625" style="63" bestFit="1" customWidth="1"/>
    <col min="5" max="5" width="17.5703125" style="21" customWidth="1"/>
    <col min="6" max="6" width="136.28515625" style="20" bestFit="1" customWidth="1"/>
    <col min="7" max="7" width="13.42578125" style="22" bestFit="1" customWidth="1"/>
    <col min="8" max="8" width="13" style="18" customWidth="1"/>
    <col min="9" max="9" width="17.42578125" style="22" bestFit="1" customWidth="1"/>
    <col min="10" max="10" width="8" style="22" customWidth="1"/>
    <col min="11" max="11" width="7.140625" style="22" customWidth="1"/>
    <col min="12" max="12" width="1.140625" style="20" customWidth="1"/>
    <col min="13" max="13" width="9.42578125" style="20" customWidth="1"/>
    <col min="14" max="14" width="9.5703125" style="20" bestFit="1" customWidth="1"/>
    <col min="15" max="15" width="7.7109375" style="20" bestFit="1" customWidth="1"/>
    <col min="16" max="16" width="4.7109375" style="20" customWidth="1"/>
    <col min="17" max="17" width="114.28515625" style="20" bestFit="1" customWidth="1"/>
    <col min="18" max="18" width="16" style="20" customWidth="1"/>
    <col min="19" max="19" width="14.140625" style="20" customWidth="1"/>
    <col min="20" max="20" width="14.5703125" style="20" customWidth="1"/>
    <col min="21" max="22" width="1.42578125" style="20" customWidth="1"/>
    <col min="23" max="23" width="47.7109375" style="4" bestFit="1" customWidth="1"/>
    <col min="24" max="24" width="84.5703125" style="4" bestFit="1" customWidth="1"/>
    <col min="25" max="26" width="8.85546875" style="20" customWidth="1"/>
    <col min="27" max="16384" width="8.85546875" style="20"/>
  </cols>
  <sheetData>
    <row r="1" spans="1:24" ht="102" customHeight="1" x14ac:dyDescent="0.35">
      <c r="A1" s="107" t="s">
        <v>44</v>
      </c>
      <c r="B1" s="107"/>
      <c r="C1" s="107"/>
      <c r="D1" s="107"/>
      <c r="E1" s="107"/>
      <c r="F1" s="107"/>
      <c r="G1" s="107"/>
      <c r="H1" s="108" t="s">
        <v>0</v>
      </c>
      <c r="I1" s="108"/>
      <c r="J1" s="108"/>
      <c r="K1" s="108"/>
      <c r="L1" s="19"/>
      <c r="M1" s="107" t="s">
        <v>44</v>
      </c>
      <c r="N1" s="107"/>
      <c r="O1" s="107"/>
      <c r="P1" s="107"/>
      <c r="Q1" s="107"/>
      <c r="R1" s="109" t="s">
        <v>0</v>
      </c>
      <c r="S1" s="109"/>
      <c r="T1" s="109"/>
      <c r="U1" s="72"/>
      <c r="V1" s="73"/>
      <c r="W1" s="74"/>
      <c r="X1" s="75"/>
    </row>
    <row r="2" spans="1:24" ht="18.600000000000001" customHeight="1" x14ac:dyDescent="0.25">
      <c r="A2" s="20" t="s">
        <v>1</v>
      </c>
      <c r="H2" s="102" t="s">
        <v>49</v>
      </c>
      <c r="I2" s="24">
        <v>45979</v>
      </c>
      <c r="J2" s="24"/>
      <c r="K2" s="68"/>
      <c r="M2" s="69" t="s">
        <v>1</v>
      </c>
      <c r="N2" s="70"/>
      <c r="R2" s="102" t="s">
        <v>49</v>
      </c>
      <c r="S2" s="26">
        <v>45979</v>
      </c>
      <c r="T2" s="71"/>
      <c r="W2" s="74"/>
      <c r="X2" s="75"/>
    </row>
    <row r="3" spans="1:24" ht="20.100000000000001" customHeight="1" x14ac:dyDescent="0.25">
      <c r="A3" s="20" t="s">
        <v>2</v>
      </c>
      <c r="H3" s="102" t="s">
        <v>55</v>
      </c>
      <c r="I3" s="27"/>
      <c r="J3" s="25"/>
      <c r="K3" s="68"/>
      <c r="M3" s="98" t="s">
        <v>2</v>
      </c>
      <c r="R3" s="102" t="s">
        <v>55</v>
      </c>
      <c r="S3" s="27"/>
      <c r="T3" s="68"/>
      <c r="W3" s="74"/>
      <c r="X3" s="75"/>
    </row>
    <row r="4" spans="1:24" ht="20.100000000000001" customHeight="1" x14ac:dyDescent="0.25">
      <c r="A4" s="20" t="s">
        <v>3</v>
      </c>
      <c r="H4" s="102" t="s">
        <v>4</v>
      </c>
      <c r="I4" s="25"/>
      <c r="J4" s="103" t="s">
        <v>5</v>
      </c>
      <c r="K4" s="104" t="s">
        <v>6</v>
      </c>
      <c r="M4" s="99" t="s">
        <v>56</v>
      </c>
      <c r="N4" s="100"/>
      <c r="R4" s="64" t="s">
        <v>7</v>
      </c>
      <c r="S4" s="28"/>
      <c r="T4" s="29"/>
      <c r="W4" s="74"/>
      <c r="X4" s="75"/>
    </row>
    <row r="5" spans="1:24" s="34" customFormat="1" ht="39" customHeight="1" x14ac:dyDescent="0.25">
      <c r="A5" s="110" t="s">
        <v>8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76"/>
      <c r="M5" s="111" t="s">
        <v>9</v>
      </c>
      <c r="N5" s="111"/>
      <c r="O5" s="111"/>
      <c r="P5" s="111"/>
      <c r="Q5" s="111"/>
      <c r="R5" s="111"/>
      <c r="S5" s="111"/>
      <c r="T5" s="111"/>
      <c r="U5" s="76"/>
      <c r="V5" s="76"/>
      <c r="W5" s="114" t="s">
        <v>10</v>
      </c>
      <c r="X5" s="114"/>
    </row>
    <row r="6" spans="1:24" s="22" customFormat="1" ht="36" customHeight="1" x14ac:dyDescent="0.25">
      <c r="A6" s="30" t="s">
        <v>11</v>
      </c>
      <c r="B6" s="79" t="s">
        <v>43</v>
      </c>
      <c r="C6" s="30" t="s">
        <v>12</v>
      </c>
      <c r="D6" s="31" t="s">
        <v>13</v>
      </c>
      <c r="E6" s="17" t="s">
        <v>14</v>
      </c>
      <c r="F6" s="30" t="s">
        <v>15</v>
      </c>
      <c r="G6" s="30" t="s">
        <v>16</v>
      </c>
      <c r="H6" s="17" t="s">
        <v>17</v>
      </c>
      <c r="I6" s="30" t="s">
        <v>18</v>
      </c>
      <c r="J6" s="17" t="s">
        <v>19</v>
      </c>
      <c r="K6" s="17" t="s">
        <v>20</v>
      </c>
      <c r="L6" s="66"/>
      <c r="M6" s="17" t="s">
        <v>21</v>
      </c>
      <c r="N6" s="30" t="s">
        <v>22</v>
      </c>
      <c r="O6" s="30" t="s">
        <v>23</v>
      </c>
      <c r="P6" s="30" t="s">
        <v>24</v>
      </c>
      <c r="Q6" s="30"/>
      <c r="R6" s="30" t="s">
        <v>25</v>
      </c>
      <c r="S6" s="30" t="s">
        <v>26</v>
      </c>
      <c r="T6" s="30" t="s">
        <v>27</v>
      </c>
      <c r="U6" s="67"/>
      <c r="V6" s="67"/>
      <c r="W6" s="30" t="s">
        <v>28</v>
      </c>
      <c r="X6" s="17" t="s">
        <v>29</v>
      </c>
    </row>
    <row r="7" spans="1:24" ht="15" customHeight="1" x14ac:dyDescent="0.25">
      <c r="A7" s="81">
        <v>1</v>
      </c>
      <c r="B7" s="83">
        <v>12</v>
      </c>
      <c r="C7" s="78" t="s">
        <v>12</v>
      </c>
      <c r="D7" s="91"/>
      <c r="E7" s="105" t="s">
        <v>57</v>
      </c>
      <c r="F7" s="82"/>
      <c r="G7" s="3"/>
      <c r="H7" s="93"/>
      <c r="I7" s="1"/>
      <c r="J7" s="83">
        <v>24.2</v>
      </c>
      <c r="K7" s="2">
        <f>B7*J7</f>
        <v>290.39999999999998</v>
      </c>
      <c r="L7" s="5"/>
      <c r="M7" s="23"/>
      <c r="N7" s="118">
        <v>1</v>
      </c>
      <c r="O7" s="118" t="s">
        <v>50</v>
      </c>
      <c r="P7" s="83"/>
      <c r="Q7" s="10">
        <f t="shared" ref="Q7:Q45" si="0">F7</f>
        <v>0</v>
      </c>
      <c r="R7" s="65"/>
      <c r="S7" s="33">
        <f t="shared" ref="S7:S70" si="1">P7*R7</f>
        <v>0</v>
      </c>
      <c r="T7" s="33"/>
      <c r="U7" s="5"/>
      <c r="V7" s="5"/>
      <c r="W7" s="6"/>
      <c r="X7" s="6"/>
    </row>
    <row r="8" spans="1:24" ht="15" customHeight="1" x14ac:dyDescent="0.25">
      <c r="A8" s="81">
        <v>2</v>
      </c>
      <c r="B8" s="83">
        <v>12</v>
      </c>
      <c r="C8" s="78" t="s">
        <v>12</v>
      </c>
      <c r="D8" s="8"/>
      <c r="E8" s="105" t="s">
        <v>58</v>
      </c>
      <c r="F8" s="7"/>
      <c r="G8" s="3"/>
      <c r="H8" s="2"/>
      <c r="I8" s="2"/>
      <c r="J8" s="83">
        <v>25.9</v>
      </c>
      <c r="K8" s="2">
        <f t="shared" ref="K8:K71" si="2">B8*J8</f>
        <v>310.79999999999995</v>
      </c>
      <c r="L8" s="5"/>
      <c r="M8" s="23"/>
      <c r="N8" s="118"/>
      <c r="O8" s="118"/>
      <c r="P8" s="83"/>
      <c r="Q8" s="10">
        <f t="shared" si="0"/>
        <v>0</v>
      </c>
      <c r="R8" s="65"/>
      <c r="S8" s="33">
        <f t="shared" si="1"/>
        <v>0</v>
      </c>
      <c r="T8" s="33"/>
      <c r="U8" s="5"/>
      <c r="V8" s="5"/>
      <c r="W8" s="9"/>
      <c r="X8" s="9"/>
    </row>
    <row r="9" spans="1:24" ht="15" customHeight="1" x14ac:dyDescent="0.25">
      <c r="A9" s="81">
        <v>3</v>
      </c>
      <c r="B9" s="83">
        <v>12</v>
      </c>
      <c r="C9" s="78" t="s">
        <v>12</v>
      </c>
      <c r="D9" s="8"/>
      <c r="E9" s="105" t="s">
        <v>59</v>
      </c>
      <c r="F9" s="9"/>
      <c r="G9" s="3"/>
      <c r="H9" s="2"/>
      <c r="I9" s="3"/>
      <c r="J9" s="83">
        <v>22.9</v>
      </c>
      <c r="K9" s="2">
        <f t="shared" si="2"/>
        <v>274.79999999999995</v>
      </c>
      <c r="L9" s="5"/>
      <c r="M9" s="23"/>
      <c r="N9" s="118"/>
      <c r="O9" s="118"/>
      <c r="P9" s="83"/>
      <c r="Q9" s="10">
        <f t="shared" si="0"/>
        <v>0</v>
      </c>
      <c r="R9" s="65"/>
      <c r="S9" s="33">
        <f t="shared" si="1"/>
        <v>0</v>
      </c>
      <c r="T9" s="33"/>
      <c r="U9" s="5"/>
      <c r="V9" s="5"/>
      <c r="W9" s="9"/>
      <c r="X9" s="9"/>
    </row>
    <row r="10" spans="1:24" ht="15" customHeight="1" x14ac:dyDescent="0.25">
      <c r="A10" s="81">
        <v>4</v>
      </c>
      <c r="B10" s="83">
        <v>12</v>
      </c>
      <c r="C10" s="78" t="s">
        <v>12</v>
      </c>
      <c r="D10" s="8"/>
      <c r="E10" s="105" t="s">
        <v>60</v>
      </c>
      <c r="F10" s="6"/>
      <c r="G10" s="3"/>
      <c r="H10" s="2"/>
      <c r="I10" s="2"/>
      <c r="J10" s="83">
        <v>22.9</v>
      </c>
      <c r="K10" s="2">
        <f t="shared" si="2"/>
        <v>274.79999999999995</v>
      </c>
      <c r="L10" s="5"/>
      <c r="M10" s="23"/>
      <c r="N10" s="118"/>
      <c r="O10" s="118"/>
      <c r="P10" s="83"/>
      <c r="Q10" s="10">
        <f t="shared" si="0"/>
        <v>0</v>
      </c>
      <c r="R10" s="85"/>
      <c r="S10" s="33">
        <f t="shared" si="1"/>
        <v>0</v>
      </c>
      <c r="T10" s="33"/>
      <c r="U10" s="5"/>
      <c r="V10" s="5"/>
      <c r="W10" s="9"/>
      <c r="X10" s="9"/>
    </row>
    <row r="11" spans="1:24" ht="15" customHeight="1" x14ac:dyDescent="0.25">
      <c r="A11" s="81">
        <v>5</v>
      </c>
      <c r="B11" s="83">
        <v>12</v>
      </c>
      <c r="C11" s="78" t="s">
        <v>12</v>
      </c>
      <c r="D11" s="8"/>
      <c r="E11" s="105" t="s">
        <v>61</v>
      </c>
      <c r="F11" s="7"/>
      <c r="G11" s="3"/>
      <c r="H11" s="2"/>
      <c r="I11" s="1"/>
      <c r="J11" s="83">
        <v>29.7</v>
      </c>
      <c r="K11" s="2">
        <f t="shared" si="2"/>
        <v>356.4</v>
      </c>
      <c r="L11" s="5"/>
      <c r="M11" s="23"/>
      <c r="N11" s="118"/>
      <c r="O11" s="118"/>
      <c r="P11" s="83"/>
      <c r="Q11" s="10">
        <f t="shared" si="0"/>
        <v>0</v>
      </c>
      <c r="R11" s="85"/>
      <c r="S11" s="33">
        <f t="shared" si="1"/>
        <v>0</v>
      </c>
      <c r="T11" s="33"/>
      <c r="U11" s="5"/>
      <c r="V11" s="5"/>
      <c r="W11" s="9"/>
      <c r="X11" s="9"/>
    </row>
    <row r="12" spans="1:24" ht="15" customHeight="1" x14ac:dyDescent="0.25">
      <c r="A12" s="81">
        <v>6</v>
      </c>
      <c r="B12" s="83">
        <v>12</v>
      </c>
      <c r="C12" s="78" t="s">
        <v>12</v>
      </c>
      <c r="D12" s="92"/>
      <c r="E12" s="105" t="s">
        <v>62</v>
      </c>
      <c r="F12" s="82"/>
      <c r="G12" s="3"/>
      <c r="H12" s="2"/>
      <c r="I12" s="1"/>
      <c r="J12" s="83">
        <v>22.9</v>
      </c>
      <c r="K12" s="2">
        <f t="shared" si="2"/>
        <v>274.79999999999995</v>
      </c>
      <c r="L12" s="5"/>
      <c r="M12" s="23"/>
      <c r="N12" s="118"/>
      <c r="O12" s="118"/>
      <c r="P12" s="83"/>
      <c r="Q12" s="10">
        <f t="shared" si="0"/>
        <v>0</v>
      </c>
      <c r="R12" s="86"/>
      <c r="S12" s="33">
        <f t="shared" si="1"/>
        <v>0</v>
      </c>
      <c r="T12" s="33"/>
      <c r="U12" s="5"/>
      <c r="V12" s="5"/>
      <c r="W12" s="6"/>
      <c r="X12" s="6"/>
    </row>
    <row r="13" spans="1:24" ht="15" customHeight="1" x14ac:dyDescent="0.25">
      <c r="A13" s="81">
        <v>7</v>
      </c>
      <c r="B13" s="83">
        <v>12</v>
      </c>
      <c r="C13" s="77" t="s">
        <v>12</v>
      </c>
      <c r="D13" s="8"/>
      <c r="E13" s="105" t="s">
        <v>63</v>
      </c>
      <c r="F13" s="9"/>
      <c r="G13" s="3"/>
      <c r="H13" s="2"/>
      <c r="I13" s="1"/>
      <c r="J13" s="83">
        <v>22.9</v>
      </c>
      <c r="K13" s="2">
        <f t="shared" si="2"/>
        <v>274.79999999999995</v>
      </c>
      <c r="L13" s="5"/>
      <c r="M13" s="23"/>
      <c r="N13" s="118"/>
      <c r="O13" s="118"/>
      <c r="P13" s="83"/>
      <c r="Q13" s="10">
        <f t="shared" si="0"/>
        <v>0</v>
      </c>
      <c r="R13" s="86"/>
      <c r="S13" s="33">
        <f t="shared" si="1"/>
        <v>0</v>
      </c>
      <c r="T13" s="33"/>
      <c r="U13" s="5"/>
      <c r="V13" s="5"/>
      <c r="W13" s="9"/>
      <c r="X13" s="9"/>
    </row>
    <row r="14" spans="1:24" ht="15" customHeight="1" x14ac:dyDescent="0.25">
      <c r="A14" s="81">
        <v>8</v>
      </c>
      <c r="B14" s="83">
        <v>24</v>
      </c>
      <c r="C14" s="77" t="s">
        <v>12</v>
      </c>
      <c r="D14" s="92"/>
      <c r="E14" s="105" t="s">
        <v>64</v>
      </c>
      <c r="F14" s="84"/>
      <c r="G14" s="3"/>
      <c r="H14" s="2"/>
      <c r="I14" s="1"/>
      <c r="J14" s="83">
        <v>26.5</v>
      </c>
      <c r="K14" s="2">
        <f t="shared" si="2"/>
        <v>636</v>
      </c>
      <c r="L14" s="5"/>
      <c r="M14" s="23"/>
      <c r="N14" s="118"/>
      <c r="O14" s="118"/>
      <c r="P14" s="83"/>
      <c r="Q14" s="10">
        <f t="shared" si="0"/>
        <v>0</v>
      </c>
      <c r="R14" s="65"/>
      <c r="S14" s="33">
        <f t="shared" si="1"/>
        <v>0</v>
      </c>
      <c r="T14" s="33"/>
      <c r="U14" s="5"/>
      <c r="V14" s="5"/>
      <c r="W14" s="9"/>
      <c r="X14" s="9"/>
    </row>
    <row r="15" spans="1:24" ht="15" customHeight="1" x14ac:dyDescent="0.25">
      <c r="A15" s="81">
        <v>9</v>
      </c>
      <c r="B15" s="83">
        <v>24</v>
      </c>
      <c r="C15" s="77" t="s">
        <v>12</v>
      </c>
      <c r="D15" s="8"/>
      <c r="E15" s="105" t="s">
        <v>65</v>
      </c>
      <c r="F15" s="16"/>
      <c r="G15" s="3"/>
      <c r="H15" s="2"/>
      <c r="I15" s="1"/>
      <c r="J15" s="83">
        <v>26.5</v>
      </c>
      <c r="K15" s="2">
        <f t="shared" si="2"/>
        <v>636</v>
      </c>
      <c r="L15" s="5"/>
      <c r="M15" s="23"/>
      <c r="N15" s="118"/>
      <c r="O15" s="118"/>
      <c r="P15" s="83"/>
      <c r="Q15" s="10">
        <f t="shared" si="0"/>
        <v>0</v>
      </c>
      <c r="R15" s="85"/>
      <c r="S15" s="33">
        <f t="shared" si="1"/>
        <v>0</v>
      </c>
      <c r="T15" s="33"/>
      <c r="U15" s="5"/>
      <c r="V15" s="5"/>
      <c r="W15" s="9"/>
      <c r="X15" s="9"/>
    </row>
    <row r="16" spans="1:24" ht="15" customHeight="1" x14ac:dyDescent="0.25">
      <c r="A16" s="81">
        <v>10</v>
      </c>
      <c r="B16" s="83">
        <v>24</v>
      </c>
      <c r="C16" s="77" t="s">
        <v>12</v>
      </c>
      <c r="D16" s="8"/>
      <c r="E16" s="105" t="s">
        <v>66</v>
      </c>
      <c r="F16" s="6"/>
      <c r="G16" s="3"/>
      <c r="H16" s="2"/>
      <c r="I16" s="2"/>
      <c r="J16" s="83">
        <v>16.899999999999999</v>
      </c>
      <c r="K16" s="2">
        <f t="shared" si="2"/>
        <v>405.59999999999997</v>
      </c>
      <c r="L16" s="5"/>
      <c r="M16" s="23"/>
      <c r="N16" s="118"/>
      <c r="O16" s="118"/>
      <c r="P16" s="83"/>
      <c r="Q16" s="10">
        <f t="shared" si="0"/>
        <v>0</v>
      </c>
      <c r="R16" s="65"/>
      <c r="S16" s="33">
        <f t="shared" si="1"/>
        <v>0</v>
      </c>
      <c r="T16" s="33"/>
      <c r="U16" s="5"/>
      <c r="V16" s="5"/>
      <c r="W16" s="9"/>
      <c r="X16" s="9"/>
    </row>
    <row r="17" spans="1:24" ht="15" customHeight="1" x14ac:dyDescent="0.25">
      <c r="A17" s="81">
        <v>11</v>
      </c>
      <c r="B17" s="83">
        <v>12</v>
      </c>
      <c r="C17" s="77" t="s">
        <v>12</v>
      </c>
      <c r="D17" s="8"/>
      <c r="E17" s="105" t="s">
        <v>67</v>
      </c>
      <c r="F17" s="84"/>
      <c r="G17" s="3"/>
      <c r="H17" s="2"/>
      <c r="I17" s="1"/>
      <c r="J17" s="83">
        <v>32.5</v>
      </c>
      <c r="K17" s="2">
        <f t="shared" si="2"/>
        <v>390</v>
      </c>
      <c r="L17" s="5"/>
      <c r="M17" s="23"/>
      <c r="N17" s="118"/>
      <c r="O17" s="118"/>
      <c r="P17" s="83"/>
      <c r="Q17" s="10">
        <f t="shared" si="0"/>
        <v>0</v>
      </c>
      <c r="R17" s="65"/>
      <c r="S17" s="33">
        <f t="shared" si="1"/>
        <v>0</v>
      </c>
      <c r="T17" s="33"/>
      <c r="U17" s="5"/>
      <c r="V17" s="5"/>
      <c r="W17" s="9"/>
      <c r="X17" s="9"/>
    </row>
    <row r="18" spans="1:24" ht="15" customHeight="1" x14ac:dyDescent="0.25">
      <c r="A18" s="81">
        <v>12</v>
      </c>
      <c r="B18" s="83">
        <v>12</v>
      </c>
      <c r="C18" s="77" t="s">
        <v>12</v>
      </c>
      <c r="D18" s="8"/>
      <c r="E18" s="105" t="s">
        <v>68</v>
      </c>
      <c r="F18" s="6"/>
      <c r="G18" s="3"/>
      <c r="H18" s="2"/>
      <c r="I18" s="2"/>
      <c r="J18" s="83">
        <v>35.5</v>
      </c>
      <c r="K18" s="2">
        <f t="shared" si="2"/>
        <v>426</v>
      </c>
      <c r="L18" s="5"/>
      <c r="M18" s="23"/>
      <c r="N18" s="118"/>
      <c r="O18" s="118"/>
      <c r="P18" s="83"/>
      <c r="Q18" s="10">
        <f t="shared" si="0"/>
        <v>0</v>
      </c>
      <c r="R18" s="65"/>
      <c r="S18" s="33">
        <f t="shared" si="1"/>
        <v>0</v>
      </c>
      <c r="T18" s="33"/>
      <c r="U18" s="5"/>
      <c r="V18" s="5"/>
      <c r="W18" s="9"/>
      <c r="X18" s="9"/>
    </row>
    <row r="19" spans="1:24" ht="15" customHeight="1" x14ac:dyDescent="0.25">
      <c r="A19" s="81">
        <v>13</v>
      </c>
      <c r="B19" s="83">
        <v>36</v>
      </c>
      <c r="C19" s="77" t="s">
        <v>12</v>
      </c>
      <c r="D19" s="8"/>
      <c r="E19" s="105" t="s">
        <v>69</v>
      </c>
      <c r="F19" s="16"/>
      <c r="G19" s="3"/>
      <c r="H19" s="2"/>
      <c r="I19" s="2"/>
      <c r="J19" s="83">
        <v>16.899999999999999</v>
      </c>
      <c r="K19" s="2">
        <f t="shared" si="2"/>
        <v>608.4</v>
      </c>
      <c r="L19" s="5"/>
      <c r="M19" s="23"/>
      <c r="N19" s="118"/>
      <c r="O19" s="118"/>
      <c r="P19" s="83"/>
      <c r="Q19" s="10">
        <f t="shared" si="0"/>
        <v>0</v>
      </c>
      <c r="R19" s="65"/>
      <c r="S19" s="33">
        <f t="shared" si="1"/>
        <v>0</v>
      </c>
      <c r="T19" s="33"/>
      <c r="U19" s="5"/>
      <c r="V19" s="5"/>
      <c r="W19" s="9"/>
      <c r="X19" s="9"/>
    </row>
    <row r="20" spans="1:24" ht="15" customHeight="1" x14ac:dyDescent="0.25">
      <c r="A20" s="81">
        <v>14</v>
      </c>
      <c r="B20" s="83">
        <v>24</v>
      </c>
      <c r="C20" s="77" t="s">
        <v>12</v>
      </c>
      <c r="D20" s="8"/>
      <c r="E20" s="105" t="s">
        <v>70</v>
      </c>
      <c r="F20" s="16"/>
      <c r="G20" s="3"/>
      <c r="H20" s="2"/>
      <c r="I20" s="2"/>
      <c r="J20" s="83">
        <v>16.899999999999999</v>
      </c>
      <c r="K20" s="2">
        <f t="shared" si="2"/>
        <v>405.59999999999997</v>
      </c>
      <c r="L20" s="5"/>
      <c r="M20" s="23"/>
      <c r="N20" s="118"/>
      <c r="O20" s="118"/>
      <c r="P20" s="83"/>
      <c r="Q20" s="10">
        <f t="shared" si="0"/>
        <v>0</v>
      </c>
      <c r="R20" s="65"/>
      <c r="S20" s="33">
        <f t="shared" si="1"/>
        <v>0</v>
      </c>
      <c r="T20" s="33"/>
      <c r="U20" s="5"/>
      <c r="V20" s="5"/>
      <c r="W20" s="9"/>
      <c r="X20" s="9"/>
    </row>
    <row r="21" spans="1:24" ht="15" customHeight="1" x14ac:dyDescent="0.25">
      <c r="A21" s="81">
        <v>15</v>
      </c>
      <c r="B21" s="83">
        <v>36</v>
      </c>
      <c r="C21" s="77" t="s">
        <v>12</v>
      </c>
      <c r="D21" s="92"/>
      <c r="E21" s="105" t="s">
        <v>71</v>
      </c>
      <c r="F21" s="16"/>
      <c r="G21" s="3"/>
      <c r="H21" s="2"/>
      <c r="I21" s="2"/>
      <c r="J21" s="83">
        <v>19.899999999999999</v>
      </c>
      <c r="K21" s="2">
        <f t="shared" si="2"/>
        <v>716.4</v>
      </c>
      <c r="L21" s="5"/>
      <c r="M21" s="23"/>
      <c r="N21" s="118"/>
      <c r="O21" s="118"/>
      <c r="P21" s="83"/>
      <c r="Q21" s="10">
        <f t="shared" si="0"/>
        <v>0</v>
      </c>
      <c r="R21" s="65"/>
      <c r="S21" s="33">
        <f t="shared" si="1"/>
        <v>0</v>
      </c>
      <c r="T21" s="33"/>
      <c r="U21" s="5"/>
      <c r="V21" s="5"/>
      <c r="W21" s="9"/>
      <c r="X21" s="9"/>
    </row>
    <row r="22" spans="1:24" ht="15" customHeight="1" x14ac:dyDescent="0.25">
      <c r="A22" s="81">
        <v>16</v>
      </c>
      <c r="B22" s="83">
        <v>36</v>
      </c>
      <c r="C22" s="77" t="s">
        <v>12</v>
      </c>
      <c r="D22" s="8"/>
      <c r="E22" s="105" t="s">
        <v>72</v>
      </c>
      <c r="F22" s="16"/>
      <c r="G22" s="3"/>
      <c r="H22" s="2"/>
      <c r="I22" s="2"/>
      <c r="J22" s="83">
        <v>19.899999999999999</v>
      </c>
      <c r="K22" s="2">
        <f t="shared" si="2"/>
        <v>716.4</v>
      </c>
      <c r="L22" s="5"/>
      <c r="M22" s="23"/>
      <c r="N22" s="118"/>
      <c r="O22" s="118"/>
      <c r="P22" s="83"/>
      <c r="Q22" s="10">
        <f t="shared" si="0"/>
        <v>0</v>
      </c>
      <c r="R22" s="65"/>
      <c r="S22" s="33">
        <f t="shared" si="1"/>
        <v>0</v>
      </c>
      <c r="T22" s="33"/>
      <c r="U22" s="5"/>
      <c r="V22" s="5"/>
      <c r="W22" s="9"/>
      <c r="X22" s="9"/>
    </row>
    <row r="23" spans="1:24" ht="15" customHeight="1" x14ac:dyDescent="0.25">
      <c r="A23" s="81">
        <v>17</v>
      </c>
      <c r="B23" s="83">
        <v>36</v>
      </c>
      <c r="C23" s="77" t="s">
        <v>12</v>
      </c>
      <c r="D23" s="8"/>
      <c r="E23" s="105" t="s">
        <v>73</v>
      </c>
      <c r="F23" s="16"/>
      <c r="G23" s="3"/>
      <c r="H23" s="2"/>
      <c r="I23" s="2"/>
      <c r="J23" s="83">
        <v>15</v>
      </c>
      <c r="K23" s="2">
        <f t="shared" si="2"/>
        <v>540</v>
      </c>
      <c r="L23" s="5"/>
      <c r="M23" s="23"/>
      <c r="N23" s="118"/>
      <c r="O23" s="118"/>
      <c r="P23" s="83"/>
      <c r="Q23" s="10">
        <f t="shared" si="0"/>
        <v>0</v>
      </c>
      <c r="R23" s="65"/>
      <c r="S23" s="33">
        <f t="shared" si="1"/>
        <v>0</v>
      </c>
      <c r="T23" s="33"/>
      <c r="U23" s="5"/>
      <c r="V23" s="5"/>
      <c r="W23" s="9"/>
      <c r="X23" s="9"/>
    </row>
    <row r="24" spans="1:24" ht="15" customHeight="1" x14ac:dyDescent="0.25">
      <c r="A24" s="81">
        <v>18</v>
      </c>
      <c r="B24" s="83">
        <v>36</v>
      </c>
      <c r="C24" s="77" t="s">
        <v>12</v>
      </c>
      <c r="D24" s="8"/>
      <c r="E24" s="105" t="s">
        <v>74</v>
      </c>
      <c r="F24" s="9"/>
      <c r="G24" s="3"/>
      <c r="H24" s="2"/>
      <c r="I24" s="1"/>
      <c r="J24" s="83">
        <v>26.5</v>
      </c>
      <c r="K24" s="2">
        <f t="shared" si="2"/>
        <v>954</v>
      </c>
      <c r="L24" s="5"/>
      <c r="M24" s="23"/>
      <c r="N24" s="118"/>
      <c r="O24" s="118"/>
      <c r="P24" s="83"/>
      <c r="Q24" s="10">
        <f t="shared" si="0"/>
        <v>0</v>
      </c>
      <c r="R24" s="85"/>
      <c r="S24" s="33">
        <f t="shared" si="1"/>
        <v>0</v>
      </c>
      <c r="T24" s="33"/>
      <c r="U24" s="5"/>
      <c r="V24" s="5"/>
      <c r="W24" s="9"/>
      <c r="X24" s="9"/>
    </row>
    <row r="25" spans="1:24" ht="15" customHeight="1" x14ac:dyDescent="0.25">
      <c r="A25" s="81">
        <v>19</v>
      </c>
      <c r="B25" s="83">
        <v>36</v>
      </c>
      <c r="C25" s="77" t="s">
        <v>12</v>
      </c>
      <c r="D25" s="92"/>
      <c r="E25" s="105" t="s">
        <v>75</v>
      </c>
      <c r="F25" s="9"/>
      <c r="G25" s="3"/>
      <c r="H25" s="2"/>
      <c r="I25" s="1"/>
      <c r="J25" s="83">
        <v>11.9</v>
      </c>
      <c r="K25" s="2">
        <f t="shared" si="2"/>
        <v>428.40000000000003</v>
      </c>
      <c r="L25" s="5"/>
      <c r="M25" s="23"/>
      <c r="N25" s="118"/>
      <c r="O25" s="118"/>
      <c r="P25" s="83"/>
      <c r="Q25" s="10">
        <f t="shared" si="0"/>
        <v>0</v>
      </c>
      <c r="R25" s="65"/>
      <c r="S25" s="33">
        <f t="shared" si="1"/>
        <v>0</v>
      </c>
      <c r="T25" s="33"/>
      <c r="U25" s="5"/>
      <c r="V25" s="5"/>
      <c r="W25" s="9"/>
      <c r="X25" s="9"/>
    </row>
    <row r="26" spans="1:24" ht="15" customHeight="1" x14ac:dyDescent="0.25">
      <c r="A26" s="81">
        <v>20</v>
      </c>
      <c r="B26" s="83">
        <v>48</v>
      </c>
      <c r="C26" s="77" t="s">
        <v>12</v>
      </c>
      <c r="D26" s="8"/>
      <c r="E26" s="105" t="s">
        <v>76</v>
      </c>
      <c r="F26" s="9"/>
      <c r="G26" s="3"/>
      <c r="H26" s="2"/>
      <c r="I26" s="1"/>
      <c r="J26" s="83">
        <v>65.900000000000006</v>
      </c>
      <c r="K26" s="2">
        <f t="shared" si="2"/>
        <v>3163.2000000000003</v>
      </c>
      <c r="L26" s="5"/>
      <c r="M26" s="23"/>
      <c r="N26" s="118"/>
      <c r="O26" s="118"/>
      <c r="P26" s="83"/>
      <c r="Q26" s="10">
        <f t="shared" si="0"/>
        <v>0</v>
      </c>
      <c r="R26" s="65"/>
      <c r="S26" s="33">
        <f t="shared" si="1"/>
        <v>0</v>
      </c>
      <c r="T26" s="33"/>
      <c r="U26" s="5"/>
      <c r="V26" s="5"/>
      <c r="W26" s="9"/>
      <c r="X26" s="9"/>
    </row>
    <row r="27" spans="1:24" ht="15" customHeight="1" x14ac:dyDescent="0.25">
      <c r="A27" s="81">
        <v>21</v>
      </c>
      <c r="B27" s="83">
        <v>36</v>
      </c>
      <c r="C27" s="77" t="s">
        <v>12</v>
      </c>
      <c r="D27" s="8"/>
      <c r="E27" s="105" t="s">
        <v>77</v>
      </c>
      <c r="F27" s="6"/>
      <c r="G27" s="3"/>
      <c r="H27" s="2"/>
      <c r="I27" s="3"/>
      <c r="J27" s="83">
        <v>19.899999999999999</v>
      </c>
      <c r="K27" s="2">
        <f t="shared" si="2"/>
        <v>716.4</v>
      </c>
      <c r="L27" s="5"/>
      <c r="M27" s="23"/>
      <c r="N27" s="118"/>
      <c r="O27" s="118"/>
      <c r="P27" s="83"/>
      <c r="Q27" s="10">
        <f t="shared" si="0"/>
        <v>0</v>
      </c>
      <c r="R27" s="85"/>
      <c r="S27" s="33">
        <f t="shared" si="1"/>
        <v>0</v>
      </c>
      <c r="T27" s="33"/>
      <c r="U27" s="5"/>
      <c r="V27" s="5"/>
      <c r="W27" s="9"/>
      <c r="X27" s="9"/>
    </row>
    <row r="28" spans="1:24" ht="15" customHeight="1" x14ac:dyDescent="0.25">
      <c r="A28" s="81">
        <v>22</v>
      </c>
      <c r="B28" s="83">
        <v>36</v>
      </c>
      <c r="C28" s="77" t="s">
        <v>12</v>
      </c>
      <c r="D28" s="8"/>
      <c r="E28" s="105" t="s">
        <v>78</v>
      </c>
      <c r="F28" s="6"/>
      <c r="G28" s="3"/>
      <c r="H28" s="2"/>
      <c r="I28" s="2"/>
      <c r="J28" s="83">
        <v>19.899999999999999</v>
      </c>
      <c r="K28" s="2">
        <f t="shared" si="2"/>
        <v>716.4</v>
      </c>
      <c r="L28" s="5"/>
      <c r="M28" s="23"/>
      <c r="N28" s="118"/>
      <c r="O28" s="118"/>
      <c r="P28" s="83"/>
      <c r="Q28" s="10">
        <f t="shared" si="0"/>
        <v>0</v>
      </c>
      <c r="R28" s="85"/>
      <c r="S28" s="33">
        <f t="shared" si="1"/>
        <v>0</v>
      </c>
      <c r="T28" s="33"/>
      <c r="U28" s="5"/>
      <c r="V28" s="5"/>
      <c r="W28" s="9"/>
      <c r="X28" s="9"/>
    </row>
    <row r="29" spans="1:24" ht="15" customHeight="1" x14ac:dyDescent="0.25">
      <c r="A29" s="81">
        <v>23</v>
      </c>
      <c r="B29" s="83">
        <v>24</v>
      </c>
      <c r="C29" s="77" t="s">
        <v>12</v>
      </c>
      <c r="D29" s="8"/>
      <c r="E29" s="105" t="s">
        <v>79</v>
      </c>
      <c r="F29" s="6"/>
      <c r="G29" s="3"/>
      <c r="H29" s="2"/>
      <c r="I29" s="2"/>
      <c r="J29" s="83">
        <v>32.5</v>
      </c>
      <c r="K29" s="2">
        <f t="shared" si="2"/>
        <v>780</v>
      </c>
      <c r="L29" s="5"/>
      <c r="M29" s="23"/>
      <c r="N29" s="118"/>
      <c r="O29" s="118"/>
      <c r="P29" s="83"/>
      <c r="Q29" s="10">
        <f t="shared" si="0"/>
        <v>0</v>
      </c>
      <c r="R29" s="85"/>
      <c r="S29" s="33">
        <f t="shared" si="1"/>
        <v>0</v>
      </c>
      <c r="T29" s="33"/>
      <c r="U29" s="5"/>
      <c r="V29" s="5"/>
      <c r="W29" s="9"/>
      <c r="X29" s="9"/>
    </row>
    <row r="30" spans="1:24" ht="15" customHeight="1" x14ac:dyDescent="0.25">
      <c r="A30" s="81">
        <v>24</v>
      </c>
      <c r="B30" s="83">
        <v>48</v>
      </c>
      <c r="C30" s="77" t="s">
        <v>12</v>
      </c>
      <c r="D30" s="8"/>
      <c r="E30" s="105" t="s">
        <v>80</v>
      </c>
      <c r="F30" s="6"/>
      <c r="G30" s="3"/>
      <c r="H30" s="2"/>
      <c r="I30" s="2"/>
      <c r="J30" s="83">
        <v>19.899999999999999</v>
      </c>
      <c r="K30" s="2">
        <f t="shared" si="2"/>
        <v>955.19999999999993</v>
      </c>
      <c r="L30" s="5"/>
      <c r="M30" s="23"/>
      <c r="N30" s="118"/>
      <c r="O30" s="118"/>
      <c r="P30" s="83"/>
      <c r="Q30" s="10">
        <f t="shared" si="0"/>
        <v>0</v>
      </c>
      <c r="R30" s="85"/>
      <c r="S30" s="33">
        <f t="shared" si="1"/>
        <v>0</v>
      </c>
      <c r="T30" s="33"/>
      <c r="U30" s="5"/>
      <c r="V30" s="5"/>
      <c r="W30" s="9"/>
      <c r="X30" s="9"/>
    </row>
    <row r="31" spans="1:24" ht="15" customHeight="1" x14ac:dyDescent="0.25">
      <c r="A31" s="81">
        <v>25</v>
      </c>
      <c r="B31" s="83">
        <v>36</v>
      </c>
      <c r="C31" s="77" t="s">
        <v>12</v>
      </c>
      <c r="D31" s="92"/>
      <c r="E31" s="105" t="s">
        <v>81</v>
      </c>
      <c r="F31" s="82"/>
      <c r="G31" s="3"/>
      <c r="H31" s="2"/>
      <c r="I31" s="2"/>
      <c r="J31" s="83">
        <v>19.899999999999999</v>
      </c>
      <c r="K31" s="2">
        <f t="shared" si="2"/>
        <v>716.4</v>
      </c>
      <c r="L31" s="5"/>
      <c r="M31" s="23"/>
      <c r="N31" s="118"/>
      <c r="O31" s="118"/>
      <c r="P31" s="83"/>
      <c r="Q31" s="10">
        <f t="shared" si="0"/>
        <v>0</v>
      </c>
      <c r="R31" s="65"/>
      <c r="S31" s="33">
        <f t="shared" si="1"/>
        <v>0</v>
      </c>
      <c r="T31" s="33"/>
      <c r="U31" s="5"/>
      <c r="V31" s="5"/>
      <c r="W31" s="9"/>
      <c r="X31" s="9"/>
    </row>
    <row r="32" spans="1:24" ht="15" customHeight="1" x14ac:dyDescent="0.25">
      <c r="A32" s="81">
        <v>26</v>
      </c>
      <c r="B32" s="83">
        <v>12</v>
      </c>
      <c r="C32" s="77" t="s">
        <v>12</v>
      </c>
      <c r="D32" s="8"/>
      <c r="E32" s="105" t="s">
        <v>82</v>
      </c>
      <c r="F32" s="6"/>
      <c r="G32" s="3"/>
      <c r="H32" s="2"/>
      <c r="I32" s="2"/>
      <c r="J32" s="83">
        <v>18.23</v>
      </c>
      <c r="K32" s="2">
        <f t="shared" si="2"/>
        <v>218.76</v>
      </c>
      <c r="L32" s="5"/>
      <c r="M32" s="23"/>
      <c r="N32" s="118"/>
      <c r="O32" s="118"/>
      <c r="P32" s="83"/>
      <c r="Q32" s="10">
        <f t="shared" si="0"/>
        <v>0</v>
      </c>
      <c r="R32" s="85"/>
      <c r="S32" s="33">
        <f t="shared" si="1"/>
        <v>0</v>
      </c>
      <c r="T32" s="33"/>
      <c r="U32" s="5"/>
      <c r="V32" s="5"/>
      <c r="W32" s="9"/>
      <c r="X32" s="9"/>
    </row>
    <row r="33" spans="1:24" ht="15" customHeight="1" x14ac:dyDescent="0.25">
      <c r="A33" s="81">
        <v>27</v>
      </c>
      <c r="B33" s="83">
        <v>12</v>
      </c>
      <c r="C33" s="77" t="s">
        <v>12</v>
      </c>
      <c r="D33" s="8"/>
      <c r="E33" s="105" t="s">
        <v>83</v>
      </c>
      <c r="F33" s="9"/>
      <c r="G33" s="3"/>
      <c r="H33" s="2"/>
      <c r="I33" s="3"/>
      <c r="J33" s="83">
        <v>10.130000000000001</v>
      </c>
      <c r="K33" s="2">
        <f t="shared" si="2"/>
        <v>121.56</v>
      </c>
      <c r="L33" s="5"/>
      <c r="M33" s="23"/>
      <c r="N33" s="118"/>
      <c r="O33" s="118"/>
      <c r="P33" s="83"/>
      <c r="Q33" s="10">
        <f t="shared" si="0"/>
        <v>0</v>
      </c>
      <c r="R33" s="88"/>
      <c r="S33" s="33">
        <f t="shared" si="1"/>
        <v>0</v>
      </c>
      <c r="T33" s="33"/>
      <c r="U33" s="5"/>
      <c r="V33" s="5"/>
      <c r="W33" s="9"/>
      <c r="X33" s="9"/>
    </row>
    <row r="34" spans="1:24" ht="15" customHeight="1" x14ac:dyDescent="0.25">
      <c r="A34" s="81">
        <v>28</v>
      </c>
      <c r="B34" s="83">
        <v>12</v>
      </c>
      <c r="C34" s="77" t="s">
        <v>12</v>
      </c>
      <c r="D34" s="94"/>
      <c r="E34" s="105" t="s">
        <v>84</v>
      </c>
      <c r="F34" s="9"/>
      <c r="G34" s="3"/>
      <c r="H34" s="2"/>
      <c r="I34" s="1"/>
      <c r="J34" s="83">
        <v>13.5</v>
      </c>
      <c r="K34" s="2">
        <f t="shared" si="2"/>
        <v>162</v>
      </c>
      <c r="L34" s="5"/>
      <c r="M34" s="23"/>
      <c r="N34" s="118"/>
      <c r="O34" s="118"/>
      <c r="P34" s="83"/>
      <c r="Q34" s="10">
        <f t="shared" si="0"/>
        <v>0</v>
      </c>
      <c r="R34" s="65"/>
      <c r="S34" s="33">
        <f t="shared" si="1"/>
        <v>0</v>
      </c>
      <c r="T34" s="33"/>
      <c r="U34" s="5"/>
      <c r="V34" s="5"/>
      <c r="W34" s="9"/>
      <c r="X34" s="9"/>
    </row>
    <row r="35" spans="1:24" ht="15" customHeight="1" x14ac:dyDescent="0.25">
      <c r="A35" s="81">
        <v>29</v>
      </c>
      <c r="B35" s="83">
        <v>12</v>
      </c>
      <c r="C35" s="77" t="s">
        <v>12</v>
      </c>
      <c r="D35" s="94"/>
      <c r="E35" s="106">
        <v>6290171002345</v>
      </c>
      <c r="F35" s="9"/>
      <c r="G35" s="3"/>
      <c r="H35" s="2"/>
      <c r="I35" s="1"/>
      <c r="J35" s="83">
        <v>22.5</v>
      </c>
      <c r="K35" s="2">
        <f t="shared" si="2"/>
        <v>270</v>
      </c>
      <c r="L35" s="5"/>
      <c r="M35" s="23"/>
      <c r="N35" s="118"/>
      <c r="O35" s="118"/>
      <c r="P35" s="83"/>
      <c r="Q35" s="10">
        <f t="shared" si="0"/>
        <v>0</v>
      </c>
      <c r="R35" s="65"/>
      <c r="S35" s="33">
        <f t="shared" si="1"/>
        <v>0</v>
      </c>
      <c r="T35" s="33"/>
      <c r="U35" s="5"/>
      <c r="V35" s="5"/>
      <c r="W35" s="9"/>
      <c r="X35" s="9"/>
    </row>
    <row r="36" spans="1:24" ht="15" customHeight="1" x14ac:dyDescent="0.25">
      <c r="A36" s="81">
        <v>30</v>
      </c>
      <c r="B36" s="83">
        <v>24</v>
      </c>
      <c r="C36" s="77" t="s">
        <v>12</v>
      </c>
      <c r="D36" s="101"/>
      <c r="E36" s="106">
        <v>6290171000976</v>
      </c>
      <c r="F36" s="6"/>
      <c r="G36" s="3"/>
      <c r="H36" s="93"/>
      <c r="I36" s="2"/>
      <c r="J36" s="83">
        <v>23.9</v>
      </c>
      <c r="K36" s="2">
        <f t="shared" si="2"/>
        <v>573.59999999999991</v>
      </c>
      <c r="L36" s="5"/>
      <c r="M36" s="23"/>
      <c r="N36" s="118"/>
      <c r="O36" s="118"/>
      <c r="P36" s="83"/>
      <c r="Q36" s="10">
        <f t="shared" si="0"/>
        <v>0</v>
      </c>
      <c r="R36" s="65"/>
      <c r="S36" s="33">
        <f t="shared" si="1"/>
        <v>0</v>
      </c>
      <c r="T36" s="33"/>
      <c r="U36" s="5"/>
      <c r="V36" s="5"/>
      <c r="W36" s="9"/>
      <c r="X36" s="9"/>
    </row>
    <row r="37" spans="1:24" ht="15" customHeight="1" x14ac:dyDescent="0.25">
      <c r="A37" s="81">
        <v>31</v>
      </c>
      <c r="B37" s="83">
        <v>24</v>
      </c>
      <c r="C37" s="77" t="s">
        <v>12</v>
      </c>
      <c r="D37" s="8"/>
      <c r="E37" s="106">
        <v>6290171001614</v>
      </c>
      <c r="F37" s="6"/>
      <c r="G37" s="3"/>
      <c r="H37" s="93"/>
      <c r="I37" s="1"/>
      <c r="J37" s="83">
        <v>23.9</v>
      </c>
      <c r="K37" s="2">
        <f t="shared" si="2"/>
        <v>573.59999999999991</v>
      </c>
      <c r="L37" s="5"/>
      <c r="M37" s="23"/>
      <c r="N37" s="118"/>
      <c r="O37" s="118"/>
      <c r="P37" s="83"/>
      <c r="Q37" s="10">
        <f t="shared" si="0"/>
        <v>0</v>
      </c>
      <c r="R37" s="90"/>
      <c r="S37" s="33">
        <f t="shared" si="1"/>
        <v>0</v>
      </c>
      <c r="T37" s="33"/>
      <c r="U37" s="5"/>
      <c r="V37" s="5"/>
      <c r="W37" s="9"/>
      <c r="X37" s="9"/>
    </row>
    <row r="38" spans="1:24" ht="15" customHeight="1" x14ac:dyDescent="0.25">
      <c r="A38" s="81">
        <v>32</v>
      </c>
      <c r="B38" s="83">
        <v>48</v>
      </c>
      <c r="C38" s="77" t="s">
        <v>12</v>
      </c>
      <c r="D38" s="89"/>
      <c r="E38" s="106" t="s">
        <v>85</v>
      </c>
      <c r="F38" s="95"/>
      <c r="G38" s="3"/>
      <c r="H38" s="93"/>
      <c r="I38" s="1"/>
      <c r="J38" s="83">
        <v>15.9</v>
      </c>
      <c r="K38" s="2">
        <f t="shared" si="2"/>
        <v>763.2</v>
      </c>
      <c r="L38" s="5"/>
      <c r="M38" s="23"/>
      <c r="N38" s="118"/>
      <c r="O38" s="118"/>
      <c r="P38" s="83"/>
      <c r="Q38" s="10">
        <f t="shared" si="0"/>
        <v>0</v>
      </c>
      <c r="R38" s="90"/>
      <c r="S38" s="33">
        <f t="shared" si="1"/>
        <v>0</v>
      </c>
      <c r="T38" s="33"/>
      <c r="U38" s="5"/>
      <c r="V38" s="5"/>
      <c r="W38" s="6"/>
      <c r="X38" s="6"/>
    </row>
    <row r="39" spans="1:24" ht="15" customHeight="1" x14ac:dyDescent="0.25">
      <c r="A39" s="81">
        <v>33</v>
      </c>
      <c r="B39" s="83">
        <v>3</v>
      </c>
      <c r="C39" s="77" t="s">
        <v>12</v>
      </c>
      <c r="D39" s="97"/>
      <c r="E39" s="105" t="s">
        <v>86</v>
      </c>
      <c r="F39" s="96"/>
      <c r="G39" s="3"/>
      <c r="H39" s="93"/>
      <c r="I39" s="93"/>
      <c r="J39" s="83">
        <v>37.9</v>
      </c>
      <c r="K39" s="2">
        <f t="shared" si="2"/>
        <v>113.69999999999999</v>
      </c>
      <c r="L39" s="5"/>
      <c r="M39" s="23"/>
      <c r="N39" s="118"/>
      <c r="O39" s="118"/>
      <c r="P39" s="83"/>
      <c r="Q39" s="10">
        <f t="shared" si="0"/>
        <v>0</v>
      </c>
      <c r="R39" s="90"/>
      <c r="S39" s="33">
        <f t="shared" si="1"/>
        <v>0</v>
      </c>
      <c r="T39" s="33"/>
      <c r="U39" s="5"/>
      <c r="V39" s="5"/>
      <c r="W39" s="6"/>
      <c r="X39" s="9"/>
    </row>
    <row r="40" spans="1:24" ht="15" customHeight="1" x14ac:dyDescent="0.25">
      <c r="A40" s="81">
        <v>34</v>
      </c>
      <c r="B40" s="83">
        <v>7</v>
      </c>
      <c r="C40" s="77" t="s">
        <v>12</v>
      </c>
      <c r="D40" s="87"/>
      <c r="E40" s="105" t="s">
        <v>87</v>
      </c>
      <c r="F40" s="82"/>
      <c r="G40" s="3"/>
      <c r="H40" s="93"/>
      <c r="I40" s="93"/>
      <c r="J40" s="83">
        <v>37.9</v>
      </c>
      <c r="K40" s="2">
        <f t="shared" si="2"/>
        <v>265.3</v>
      </c>
      <c r="L40" s="5"/>
      <c r="M40" s="23"/>
      <c r="N40" s="118"/>
      <c r="O40" s="118"/>
      <c r="P40" s="83"/>
      <c r="Q40" s="10">
        <f t="shared" si="0"/>
        <v>0</v>
      </c>
      <c r="R40" s="90"/>
      <c r="S40" s="33">
        <f t="shared" si="1"/>
        <v>0</v>
      </c>
      <c r="T40" s="33"/>
      <c r="U40" s="5"/>
      <c r="V40" s="5"/>
      <c r="W40" s="9"/>
      <c r="X40" s="9"/>
    </row>
    <row r="41" spans="1:24" ht="15" customHeight="1" x14ac:dyDescent="0.25">
      <c r="A41" s="81">
        <v>35</v>
      </c>
      <c r="B41" s="83">
        <v>15</v>
      </c>
      <c r="C41" s="77" t="s">
        <v>12</v>
      </c>
      <c r="D41" s="87"/>
      <c r="E41" s="105" t="s">
        <v>88</v>
      </c>
      <c r="F41" s="82"/>
      <c r="G41" s="3"/>
      <c r="H41" s="93"/>
      <c r="I41" s="93"/>
      <c r="J41" s="83">
        <v>47.9</v>
      </c>
      <c r="K41" s="2">
        <f t="shared" si="2"/>
        <v>718.5</v>
      </c>
      <c r="L41" s="5"/>
      <c r="M41" s="23"/>
      <c r="N41" s="118"/>
      <c r="O41" s="118"/>
      <c r="P41" s="83"/>
      <c r="Q41" s="10">
        <f t="shared" si="0"/>
        <v>0</v>
      </c>
      <c r="R41" s="90"/>
      <c r="S41" s="33">
        <f t="shared" si="1"/>
        <v>0</v>
      </c>
      <c r="T41" s="33"/>
      <c r="U41" s="5"/>
      <c r="V41" s="5"/>
      <c r="W41" s="9"/>
      <c r="X41" s="9"/>
    </row>
    <row r="42" spans="1:24" ht="15" customHeight="1" x14ac:dyDescent="0.25">
      <c r="A42" s="81">
        <v>36</v>
      </c>
      <c r="B42" s="83">
        <v>10</v>
      </c>
      <c r="C42" s="77" t="s">
        <v>12</v>
      </c>
      <c r="D42" s="87"/>
      <c r="E42" s="105" t="s">
        <v>89</v>
      </c>
      <c r="F42" s="82"/>
      <c r="G42" s="3"/>
      <c r="H42" s="93"/>
      <c r="I42" s="1"/>
      <c r="J42" s="83">
        <v>47.9</v>
      </c>
      <c r="K42" s="2">
        <f t="shared" si="2"/>
        <v>479</v>
      </c>
      <c r="L42" s="5"/>
      <c r="M42" s="23"/>
      <c r="N42" s="118"/>
      <c r="O42" s="118"/>
      <c r="P42" s="83"/>
      <c r="Q42" s="10">
        <f t="shared" si="0"/>
        <v>0</v>
      </c>
      <c r="R42" s="90"/>
      <c r="S42" s="33">
        <f t="shared" si="1"/>
        <v>0</v>
      </c>
      <c r="T42" s="33"/>
      <c r="U42" s="5"/>
      <c r="V42" s="5"/>
      <c r="W42" s="6"/>
      <c r="X42" s="6"/>
    </row>
    <row r="43" spans="1:24" ht="15" customHeight="1" x14ac:dyDescent="0.25">
      <c r="A43" s="81">
        <v>37</v>
      </c>
      <c r="B43" s="83">
        <v>10</v>
      </c>
      <c r="C43" s="77" t="s">
        <v>12</v>
      </c>
      <c r="D43" s="87"/>
      <c r="E43" s="105" t="s">
        <v>90</v>
      </c>
      <c r="F43" s="82"/>
      <c r="G43" s="3"/>
      <c r="H43" s="93"/>
      <c r="I43" s="1"/>
      <c r="J43" s="83">
        <v>36</v>
      </c>
      <c r="K43" s="2">
        <f t="shared" si="2"/>
        <v>360</v>
      </c>
      <c r="L43" s="5"/>
      <c r="M43" s="23"/>
      <c r="N43" s="118"/>
      <c r="O43" s="118"/>
      <c r="P43" s="83"/>
      <c r="Q43" s="10">
        <f t="shared" si="0"/>
        <v>0</v>
      </c>
      <c r="R43" s="90"/>
      <c r="S43" s="33">
        <f t="shared" si="1"/>
        <v>0</v>
      </c>
      <c r="T43" s="33"/>
      <c r="U43" s="5"/>
      <c r="V43" s="5"/>
      <c r="W43" s="6"/>
      <c r="X43" s="6"/>
    </row>
    <row r="44" spans="1:24" ht="15" customHeight="1" x14ac:dyDescent="0.25">
      <c r="A44" s="81">
        <v>38</v>
      </c>
      <c r="B44" s="83">
        <v>10</v>
      </c>
      <c r="C44" s="77" t="s">
        <v>12</v>
      </c>
      <c r="D44" s="87"/>
      <c r="E44" s="105" t="s">
        <v>91</v>
      </c>
      <c r="F44" s="9"/>
      <c r="G44" s="3"/>
      <c r="H44" s="93"/>
      <c r="I44" s="1"/>
      <c r="J44" s="83">
        <v>36</v>
      </c>
      <c r="K44" s="2">
        <f t="shared" si="2"/>
        <v>360</v>
      </c>
      <c r="L44" s="5"/>
      <c r="M44" s="23"/>
      <c r="N44" s="118"/>
      <c r="O44" s="118"/>
      <c r="P44" s="83"/>
      <c r="Q44" s="10">
        <f t="shared" si="0"/>
        <v>0</v>
      </c>
      <c r="R44" s="90"/>
      <c r="S44" s="33">
        <f t="shared" si="1"/>
        <v>0</v>
      </c>
      <c r="T44" s="33"/>
      <c r="U44" s="5"/>
      <c r="V44" s="5"/>
      <c r="W44" s="6"/>
      <c r="X44" s="9"/>
    </row>
    <row r="45" spans="1:24" ht="15" customHeight="1" x14ac:dyDescent="0.25">
      <c r="A45" s="81">
        <v>39</v>
      </c>
      <c r="B45" s="83">
        <v>10</v>
      </c>
      <c r="C45" s="77" t="s">
        <v>12</v>
      </c>
      <c r="D45" s="87"/>
      <c r="E45" s="105" t="s">
        <v>92</v>
      </c>
      <c r="F45" s="82"/>
      <c r="G45" s="3"/>
      <c r="H45" s="2"/>
      <c r="I45" s="1"/>
      <c r="J45" s="83">
        <v>36</v>
      </c>
      <c r="K45" s="2">
        <f t="shared" si="2"/>
        <v>360</v>
      </c>
      <c r="L45" s="5"/>
      <c r="M45" s="23"/>
      <c r="N45" s="118"/>
      <c r="O45" s="118"/>
      <c r="P45" s="83"/>
      <c r="Q45" s="10">
        <f t="shared" si="0"/>
        <v>0</v>
      </c>
      <c r="R45" s="90"/>
      <c r="S45" s="33">
        <f t="shared" si="1"/>
        <v>0</v>
      </c>
      <c r="T45" s="33"/>
      <c r="U45" s="5"/>
      <c r="V45" s="5"/>
      <c r="W45" s="80"/>
      <c r="X45" s="80"/>
    </row>
    <row r="46" spans="1:24" ht="15" customHeight="1" x14ac:dyDescent="0.25">
      <c r="A46" s="81">
        <v>40</v>
      </c>
      <c r="B46" s="83">
        <v>15</v>
      </c>
      <c r="C46" s="77" t="s">
        <v>12</v>
      </c>
      <c r="D46" s="87"/>
      <c r="E46" s="105" t="s">
        <v>93</v>
      </c>
      <c r="F46" s="82"/>
      <c r="G46" s="3"/>
      <c r="H46" s="2"/>
      <c r="I46" s="1"/>
      <c r="J46" s="83">
        <v>57.9</v>
      </c>
      <c r="K46" s="2">
        <f t="shared" si="2"/>
        <v>868.5</v>
      </c>
      <c r="L46" s="5"/>
      <c r="M46" s="2"/>
      <c r="N46" s="118"/>
      <c r="O46" s="118"/>
      <c r="P46" s="83"/>
      <c r="Q46" s="10"/>
      <c r="R46" s="90"/>
      <c r="S46" s="33">
        <f t="shared" si="1"/>
        <v>0</v>
      </c>
      <c r="T46" s="33"/>
      <c r="U46" s="5"/>
      <c r="V46" s="5"/>
      <c r="W46" s="80"/>
      <c r="X46" s="80"/>
    </row>
    <row r="47" spans="1:24" ht="15" customHeight="1" x14ac:dyDescent="0.25">
      <c r="A47" s="81">
        <v>41</v>
      </c>
      <c r="B47" s="83">
        <v>5</v>
      </c>
      <c r="C47" s="77" t="s">
        <v>12</v>
      </c>
      <c r="D47" s="87"/>
      <c r="E47" s="105" t="s">
        <v>94</v>
      </c>
      <c r="F47" s="82"/>
      <c r="G47" s="3"/>
      <c r="H47" s="2"/>
      <c r="I47" s="1"/>
      <c r="J47" s="83">
        <v>57.9</v>
      </c>
      <c r="K47" s="2">
        <f t="shared" si="2"/>
        <v>289.5</v>
      </c>
      <c r="L47" s="5"/>
      <c r="M47" s="2"/>
      <c r="N47" s="118"/>
      <c r="O47" s="118"/>
      <c r="P47" s="83"/>
      <c r="Q47" s="10"/>
      <c r="R47" s="90"/>
      <c r="S47" s="33">
        <f t="shared" si="1"/>
        <v>0</v>
      </c>
      <c r="T47" s="33"/>
      <c r="U47" s="5"/>
      <c r="V47" s="5"/>
      <c r="W47" s="80"/>
      <c r="X47" s="80"/>
    </row>
    <row r="48" spans="1:24" ht="15" customHeight="1" x14ac:dyDescent="0.25">
      <c r="A48" s="81">
        <v>42</v>
      </c>
      <c r="B48" s="83">
        <v>6</v>
      </c>
      <c r="C48" s="77" t="s">
        <v>12</v>
      </c>
      <c r="D48" s="87"/>
      <c r="E48" s="105" t="s">
        <v>95</v>
      </c>
      <c r="F48" s="82"/>
      <c r="G48" s="3"/>
      <c r="H48" s="2"/>
      <c r="I48" s="1"/>
      <c r="J48" s="83">
        <v>71</v>
      </c>
      <c r="K48" s="2">
        <f t="shared" si="2"/>
        <v>426</v>
      </c>
      <c r="L48" s="5"/>
      <c r="M48" s="2"/>
      <c r="N48" s="118"/>
      <c r="O48" s="118"/>
      <c r="P48" s="83"/>
      <c r="Q48" s="10"/>
      <c r="R48" s="90"/>
      <c r="S48" s="33">
        <f t="shared" si="1"/>
        <v>0</v>
      </c>
      <c r="T48" s="33"/>
      <c r="U48" s="5"/>
      <c r="V48" s="5"/>
      <c r="W48" s="80"/>
      <c r="X48" s="80"/>
    </row>
    <row r="49" spans="1:24" ht="15" customHeight="1" x14ac:dyDescent="0.25">
      <c r="A49" s="81">
        <v>43</v>
      </c>
      <c r="B49" s="83">
        <v>5</v>
      </c>
      <c r="C49" s="77" t="s">
        <v>12</v>
      </c>
      <c r="D49" s="87"/>
      <c r="E49" s="105" t="s">
        <v>96</v>
      </c>
      <c r="F49" s="82"/>
      <c r="G49" s="3"/>
      <c r="H49" s="2"/>
      <c r="I49" s="1"/>
      <c r="J49" s="83">
        <v>71</v>
      </c>
      <c r="K49" s="2">
        <f t="shared" si="2"/>
        <v>355</v>
      </c>
      <c r="L49" s="5"/>
      <c r="M49" s="2"/>
      <c r="N49" s="118"/>
      <c r="O49" s="118"/>
      <c r="P49" s="83"/>
      <c r="Q49" s="10"/>
      <c r="R49" s="90"/>
      <c r="S49" s="33">
        <f t="shared" si="1"/>
        <v>0</v>
      </c>
      <c r="T49" s="33"/>
      <c r="U49" s="5"/>
      <c r="V49" s="5"/>
      <c r="W49" s="80"/>
      <c r="X49" s="80"/>
    </row>
    <row r="50" spans="1:24" ht="15" customHeight="1" x14ac:dyDescent="0.25">
      <c r="A50" s="81">
        <v>44</v>
      </c>
      <c r="B50" s="83">
        <v>4</v>
      </c>
      <c r="C50" s="77" t="s">
        <v>12</v>
      </c>
      <c r="D50" s="87"/>
      <c r="E50" s="105" t="s">
        <v>97</v>
      </c>
      <c r="F50" s="82"/>
      <c r="G50" s="3"/>
      <c r="H50" s="2"/>
      <c r="I50" s="1"/>
      <c r="J50" s="83">
        <v>71</v>
      </c>
      <c r="K50" s="2">
        <f t="shared" si="2"/>
        <v>284</v>
      </c>
      <c r="L50" s="5"/>
      <c r="M50" s="2"/>
      <c r="N50" s="118"/>
      <c r="O50" s="118"/>
      <c r="P50" s="83"/>
      <c r="Q50" s="10"/>
      <c r="R50" s="90"/>
      <c r="S50" s="33">
        <f t="shared" si="1"/>
        <v>0</v>
      </c>
      <c r="T50" s="33"/>
      <c r="U50" s="5"/>
      <c r="V50" s="5"/>
      <c r="W50" s="80"/>
      <c r="X50" s="80"/>
    </row>
    <row r="51" spans="1:24" ht="15" customHeight="1" x14ac:dyDescent="0.25">
      <c r="A51" s="81">
        <v>45</v>
      </c>
      <c r="B51" s="83">
        <v>8</v>
      </c>
      <c r="C51" s="77" t="s">
        <v>12</v>
      </c>
      <c r="D51" s="87"/>
      <c r="E51" s="105" t="s">
        <v>98</v>
      </c>
      <c r="F51" s="82"/>
      <c r="G51" s="3"/>
      <c r="H51" s="2"/>
      <c r="I51" s="1"/>
      <c r="J51" s="83">
        <v>132</v>
      </c>
      <c r="K51" s="2">
        <f t="shared" si="2"/>
        <v>1056</v>
      </c>
      <c r="L51" s="5"/>
      <c r="M51" s="2"/>
      <c r="N51" s="118"/>
      <c r="O51" s="118"/>
      <c r="P51" s="83"/>
      <c r="Q51" s="10"/>
      <c r="R51" s="90"/>
      <c r="S51" s="33">
        <f t="shared" si="1"/>
        <v>0</v>
      </c>
      <c r="T51" s="33"/>
      <c r="U51" s="5"/>
      <c r="V51" s="5"/>
      <c r="W51" s="80"/>
      <c r="X51" s="80"/>
    </row>
    <row r="52" spans="1:24" ht="15" customHeight="1" x14ac:dyDescent="0.25">
      <c r="A52" s="81">
        <v>46</v>
      </c>
      <c r="B52" s="83">
        <v>4</v>
      </c>
      <c r="C52" s="77" t="s">
        <v>12</v>
      </c>
      <c r="D52" s="87"/>
      <c r="E52" s="105" t="s">
        <v>99</v>
      </c>
      <c r="F52" s="82"/>
      <c r="G52" s="3"/>
      <c r="H52" s="2"/>
      <c r="I52" s="1"/>
      <c r="J52" s="83">
        <v>132</v>
      </c>
      <c r="K52" s="2">
        <f t="shared" si="2"/>
        <v>528</v>
      </c>
      <c r="L52" s="5"/>
      <c r="M52" s="2"/>
      <c r="N52" s="118"/>
      <c r="O52" s="118"/>
      <c r="P52" s="83"/>
      <c r="Q52" s="10"/>
      <c r="R52" s="90"/>
      <c r="S52" s="33">
        <f t="shared" si="1"/>
        <v>0</v>
      </c>
      <c r="T52" s="33"/>
      <c r="U52" s="5"/>
      <c r="V52" s="5"/>
      <c r="W52" s="80"/>
      <c r="X52" s="80"/>
    </row>
    <row r="53" spans="1:24" ht="15" customHeight="1" x14ac:dyDescent="0.25">
      <c r="A53" s="81">
        <v>47</v>
      </c>
      <c r="B53" s="83">
        <v>10</v>
      </c>
      <c r="C53" s="77" t="s">
        <v>12</v>
      </c>
      <c r="D53" s="87"/>
      <c r="E53" s="105" t="s">
        <v>100</v>
      </c>
      <c r="F53" s="82"/>
      <c r="G53" s="3"/>
      <c r="H53" s="2"/>
      <c r="I53" s="1"/>
      <c r="J53" s="83">
        <v>11.5</v>
      </c>
      <c r="K53" s="2">
        <f t="shared" si="2"/>
        <v>115</v>
      </c>
      <c r="L53" s="5"/>
      <c r="M53" s="2"/>
      <c r="N53" s="118"/>
      <c r="O53" s="118"/>
      <c r="P53" s="83"/>
      <c r="Q53" s="10"/>
      <c r="R53" s="90"/>
      <c r="S53" s="33">
        <f t="shared" si="1"/>
        <v>0</v>
      </c>
      <c r="T53" s="33"/>
      <c r="U53" s="5"/>
      <c r="V53" s="5"/>
      <c r="W53" s="80"/>
      <c r="X53" s="80"/>
    </row>
    <row r="54" spans="1:24" ht="15" customHeight="1" x14ac:dyDescent="0.25">
      <c r="A54" s="81">
        <v>48</v>
      </c>
      <c r="B54" s="83">
        <v>10</v>
      </c>
      <c r="C54" s="77" t="s">
        <v>12</v>
      </c>
      <c r="D54" s="87"/>
      <c r="E54" s="105" t="s">
        <v>101</v>
      </c>
      <c r="F54" s="82"/>
      <c r="G54" s="3"/>
      <c r="H54" s="2"/>
      <c r="I54" s="1"/>
      <c r="J54" s="83">
        <v>12.5</v>
      </c>
      <c r="K54" s="2">
        <f t="shared" si="2"/>
        <v>125</v>
      </c>
      <c r="L54" s="5"/>
      <c r="M54" s="2"/>
      <c r="N54" s="118"/>
      <c r="O54" s="118"/>
      <c r="P54" s="83"/>
      <c r="Q54" s="10"/>
      <c r="R54" s="90"/>
      <c r="S54" s="33">
        <f t="shared" si="1"/>
        <v>0</v>
      </c>
      <c r="T54" s="33"/>
      <c r="U54" s="5"/>
      <c r="V54" s="5"/>
      <c r="W54" s="80"/>
      <c r="X54" s="80"/>
    </row>
    <row r="55" spans="1:24" ht="15" customHeight="1" x14ac:dyDescent="0.25">
      <c r="A55" s="81">
        <v>49</v>
      </c>
      <c r="B55" s="83">
        <v>10</v>
      </c>
      <c r="C55" s="77" t="s">
        <v>12</v>
      </c>
      <c r="D55" s="87"/>
      <c r="E55" s="105" t="s">
        <v>102</v>
      </c>
      <c r="F55" s="82"/>
      <c r="G55" s="3"/>
      <c r="H55" s="2"/>
      <c r="I55" s="1"/>
      <c r="J55" s="83">
        <v>13.5</v>
      </c>
      <c r="K55" s="2">
        <f t="shared" si="2"/>
        <v>135</v>
      </c>
      <c r="L55" s="5"/>
      <c r="M55" s="2"/>
      <c r="N55" s="118"/>
      <c r="O55" s="118"/>
      <c r="P55" s="83"/>
      <c r="Q55" s="10"/>
      <c r="R55" s="90"/>
      <c r="S55" s="33">
        <f t="shared" si="1"/>
        <v>0</v>
      </c>
      <c r="T55" s="33"/>
      <c r="U55" s="5"/>
      <c r="V55" s="5"/>
      <c r="W55" s="80"/>
      <c r="X55" s="80"/>
    </row>
    <row r="56" spans="1:24" ht="15" customHeight="1" x14ac:dyDescent="0.25">
      <c r="A56" s="81">
        <v>50</v>
      </c>
      <c r="B56" s="83">
        <v>10</v>
      </c>
      <c r="C56" s="77" t="s">
        <v>12</v>
      </c>
      <c r="D56" s="87"/>
      <c r="E56" s="105" t="s">
        <v>103</v>
      </c>
      <c r="F56" s="82"/>
      <c r="G56" s="3"/>
      <c r="H56" s="2"/>
      <c r="I56" s="1"/>
      <c r="J56" s="83">
        <v>14.5</v>
      </c>
      <c r="K56" s="2">
        <f t="shared" si="2"/>
        <v>145</v>
      </c>
      <c r="L56" s="5"/>
      <c r="M56" s="2"/>
      <c r="N56" s="118"/>
      <c r="O56" s="118"/>
      <c r="P56" s="83"/>
      <c r="Q56" s="10"/>
      <c r="R56" s="90"/>
      <c r="S56" s="33">
        <f t="shared" si="1"/>
        <v>0</v>
      </c>
      <c r="T56" s="33"/>
      <c r="U56" s="5"/>
      <c r="V56" s="5"/>
      <c r="W56" s="80"/>
      <c r="X56" s="80"/>
    </row>
    <row r="57" spans="1:24" ht="15" customHeight="1" x14ac:dyDescent="0.25">
      <c r="A57" s="81">
        <v>51</v>
      </c>
      <c r="B57" s="83">
        <v>10</v>
      </c>
      <c r="C57" s="77" t="s">
        <v>12</v>
      </c>
      <c r="D57" s="87"/>
      <c r="E57" s="105" t="s">
        <v>104</v>
      </c>
      <c r="F57" s="82"/>
      <c r="G57" s="3"/>
      <c r="H57" s="2"/>
      <c r="I57" s="1"/>
      <c r="J57" s="83">
        <v>12.5</v>
      </c>
      <c r="K57" s="2">
        <f t="shared" si="2"/>
        <v>125</v>
      </c>
      <c r="L57" s="5"/>
      <c r="M57" s="2"/>
      <c r="N57" s="118"/>
      <c r="O57" s="118"/>
      <c r="P57" s="83"/>
      <c r="Q57" s="10"/>
      <c r="R57" s="90"/>
      <c r="S57" s="33">
        <f t="shared" si="1"/>
        <v>0</v>
      </c>
      <c r="T57" s="33"/>
      <c r="U57" s="5"/>
      <c r="V57" s="5"/>
      <c r="W57" s="80"/>
      <c r="X57" s="80"/>
    </row>
    <row r="58" spans="1:24" ht="15" customHeight="1" x14ac:dyDescent="0.25">
      <c r="A58" s="81">
        <v>52</v>
      </c>
      <c r="B58" s="83">
        <v>10</v>
      </c>
      <c r="C58" s="77" t="s">
        <v>12</v>
      </c>
      <c r="D58" s="87"/>
      <c r="E58" s="105" t="s">
        <v>105</v>
      </c>
      <c r="F58" s="82"/>
      <c r="G58" s="3"/>
      <c r="H58" s="2"/>
      <c r="I58" s="1"/>
      <c r="J58" s="83">
        <v>15.5</v>
      </c>
      <c r="K58" s="2">
        <f t="shared" si="2"/>
        <v>155</v>
      </c>
      <c r="L58" s="5"/>
      <c r="M58" s="2"/>
      <c r="N58" s="118"/>
      <c r="O58" s="118"/>
      <c r="P58" s="83"/>
      <c r="Q58" s="10"/>
      <c r="R58" s="90"/>
      <c r="S58" s="33">
        <f t="shared" si="1"/>
        <v>0</v>
      </c>
      <c r="T58" s="33"/>
      <c r="U58" s="5"/>
      <c r="V58" s="5"/>
      <c r="W58" s="80"/>
      <c r="X58" s="80"/>
    </row>
    <row r="59" spans="1:24" ht="15" customHeight="1" x14ac:dyDescent="0.25">
      <c r="A59" s="81">
        <v>53</v>
      </c>
      <c r="B59" s="83">
        <v>10</v>
      </c>
      <c r="C59" s="77" t="s">
        <v>12</v>
      </c>
      <c r="D59" s="87"/>
      <c r="E59" s="105" t="s">
        <v>106</v>
      </c>
      <c r="F59" s="82"/>
      <c r="G59" s="3"/>
      <c r="H59" s="2"/>
      <c r="I59" s="1"/>
      <c r="J59" s="83">
        <v>17.5</v>
      </c>
      <c r="K59" s="2">
        <f t="shared" si="2"/>
        <v>175</v>
      </c>
      <c r="L59" s="5"/>
      <c r="M59" s="2"/>
      <c r="N59" s="118"/>
      <c r="O59" s="118"/>
      <c r="P59" s="83"/>
      <c r="Q59" s="10"/>
      <c r="R59" s="90"/>
      <c r="S59" s="33">
        <f t="shared" si="1"/>
        <v>0</v>
      </c>
      <c r="T59" s="33"/>
      <c r="U59" s="5"/>
      <c r="V59" s="5"/>
      <c r="W59" s="80"/>
      <c r="X59" s="80"/>
    </row>
    <row r="60" spans="1:24" ht="15" customHeight="1" x14ac:dyDescent="0.25">
      <c r="A60" s="81">
        <v>54</v>
      </c>
      <c r="B60" s="83">
        <v>2</v>
      </c>
      <c r="C60" s="77" t="s">
        <v>12</v>
      </c>
      <c r="D60" s="87"/>
      <c r="E60" s="105" t="s">
        <v>107</v>
      </c>
      <c r="F60" s="82"/>
      <c r="G60" s="3"/>
      <c r="H60" s="2"/>
      <c r="I60" s="1"/>
      <c r="J60" s="83">
        <v>359</v>
      </c>
      <c r="K60" s="2">
        <f t="shared" si="2"/>
        <v>718</v>
      </c>
      <c r="L60" s="5"/>
      <c r="M60" s="2"/>
      <c r="N60" s="118"/>
      <c r="O60" s="118"/>
      <c r="P60" s="83"/>
      <c r="Q60" s="10"/>
      <c r="R60" s="90"/>
      <c r="S60" s="33">
        <f t="shared" si="1"/>
        <v>0</v>
      </c>
      <c r="T60" s="33"/>
      <c r="U60" s="5"/>
      <c r="V60" s="5"/>
      <c r="W60" s="80"/>
      <c r="X60" s="80"/>
    </row>
    <row r="61" spans="1:24" ht="15" customHeight="1" x14ac:dyDescent="0.25">
      <c r="A61" s="81">
        <v>55</v>
      </c>
      <c r="B61" s="83">
        <v>3</v>
      </c>
      <c r="C61" s="77" t="s">
        <v>12</v>
      </c>
      <c r="D61" s="87"/>
      <c r="E61" s="105" t="s">
        <v>108</v>
      </c>
      <c r="F61" s="82"/>
      <c r="G61" s="3"/>
      <c r="H61" s="2"/>
      <c r="I61" s="1"/>
      <c r="J61" s="83">
        <v>359</v>
      </c>
      <c r="K61" s="2">
        <f t="shared" si="2"/>
        <v>1077</v>
      </c>
      <c r="L61" s="5"/>
      <c r="M61" s="2"/>
      <c r="N61" s="118"/>
      <c r="O61" s="118"/>
      <c r="P61" s="83"/>
      <c r="Q61" s="10"/>
      <c r="R61" s="90"/>
      <c r="S61" s="33">
        <f t="shared" si="1"/>
        <v>0</v>
      </c>
      <c r="T61" s="33"/>
      <c r="U61" s="5"/>
      <c r="V61" s="5"/>
      <c r="W61" s="80"/>
      <c r="X61" s="80"/>
    </row>
    <row r="62" spans="1:24" ht="15" customHeight="1" x14ac:dyDescent="0.25">
      <c r="A62" s="81">
        <v>56</v>
      </c>
      <c r="B62" s="83">
        <v>30</v>
      </c>
      <c r="C62" s="77" t="s">
        <v>12</v>
      </c>
      <c r="D62" s="87"/>
      <c r="E62" s="105" t="s">
        <v>109</v>
      </c>
      <c r="F62" s="82"/>
      <c r="G62" s="3"/>
      <c r="H62" s="2"/>
      <c r="I62" s="1"/>
      <c r="J62" s="83">
        <v>1</v>
      </c>
      <c r="K62" s="2">
        <f t="shared" si="2"/>
        <v>30</v>
      </c>
      <c r="L62" s="5"/>
      <c r="M62" s="2"/>
      <c r="N62" s="118"/>
      <c r="O62" s="118"/>
      <c r="P62" s="83"/>
      <c r="Q62" s="10"/>
      <c r="R62" s="90"/>
      <c r="S62" s="33">
        <f t="shared" si="1"/>
        <v>0</v>
      </c>
      <c r="T62" s="33"/>
      <c r="U62" s="5"/>
      <c r="V62" s="5"/>
      <c r="W62" s="80"/>
      <c r="X62" s="80"/>
    </row>
    <row r="63" spans="1:24" ht="15" customHeight="1" x14ac:dyDescent="0.25">
      <c r="A63" s="81">
        <v>57</v>
      </c>
      <c r="B63" s="83">
        <v>6</v>
      </c>
      <c r="C63" s="77" t="s">
        <v>12</v>
      </c>
      <c r="D63" s="87"/>
      <c r="E63" s="105" t="s">
        <v>110</v>
      </c>
      <c r="F63" s="82"/>
      <c r="G63" s="3"/>
      <c r="H63" s="2"/>
      <c r="I63" s="1"/>
      <c r="J63" s="83">
        <v>89</v>
      </c>
      <c r="K63" s="2">
        <f t="shared" si="2"/>
        <v>534</v>
      </c>
      <c r="L63" s="5"/>
      <c r="M63" s="2"/>
      <c r="N63" s="118"/>
      <c r="O63" s="118"/>
      <c r="P63" s="83"/>
      <c r="Q63" s="10"/>
      <c r="R63" s="90"/>
      <c r="S63" s="33">
        <f t="shared" si="1"/>
        <v>0</v>
      </c>
      <c r="T63" s="33"/>
      <c r="U63" s="5"/>
      <c r="V63" s="5"/>
      <c r="W63" s="80"/>
      <c r="X63" s="80"/>
    </row>
    <row r="64" spans="1:24" ht="15" customHeight="1" x14ac:dyDescent="0.25">
      <c r="A64" s="81">
        <v>58</v>
      </c>
      <c r="B64" s="83">
        <v>6</v>
      </c>
      <c r="C64" s="77" t="s">
        <v>12</v>
      </c>
      <c r="D64" s="87"/>
      <c r="E64" s="105" t="s">
        <v>111</v>
      </c>
      <c r="F64" s="82"/>
      <c r="G64" s="3"/>
      <c r="H64" s="2"/>
      <c r="I64" s="1"/>
      <c r="J64" s="83">
        <v>89</v>
      </c>
      <c r="K64" s="2">
        <f t="shared" si="2"/>
        <v>534</v>
      </c>
      <c r="L64" s="5"/>
      <c r="M64" s="2"/>
      <c r="N64" s="118"/>
      <c r="O64" s="118"/>
      <c r="P64" s="83"/>
      <c r="Q64" s="10"/>
      <c r="R64" s="90"/>
      <c r="S64" s="33">
        <f t="shared" si="1"/>
        <v>0</v>
      </c>
      <c r="T64" s="33"/>
      <c r="U64" s="5"/>
      <c r="V64" s="5"/>
      <c r="W64" s="80"/>
      <c r="X64" s="80"/>
    </row>
    <row r="65" spans="1:24" ht="15" customHeight="1" x14ac:dyDescent="0.25">
      <c r="A65" s="81">
        <v>59</v>
      </c>
      <c r="B65" s="83">
        <v>5</v>
      </c>
      <c r="C65" s="77" t="s">
        <v>12</v>
      </c>
      <c r="D65" s="87"/>
      <c r="E65" s="105" t="s">
        <v>112</v>
      </c>
      <c r="F65" s="82"/>
      <c r="G65" s="3"/>
      <c r="H65" s="2"/>
      <c r="I65" s="1"/>
      <c r="J65" s="83">
        <v>127</v>
      </c>
      <c r="K65" s="2">
        <f t="shared" si="2"/>
        <v>635</v>
      </c>
      <c r="L65" s="5"/>
      <c r="M65" s="2"/>
      <c r="N65" s="118"/>
      <c r="O65" s="118"/>
      <c r="P65" s="83"/>
      <c r="Q65" s="10"/>
      <c r="R65" s="90"/>
      <c r="S65" s="33">
        <f t="shared" si="1"/>
        <v>0</v>
      </c>
      <c r="T65" s="33"/>
      <c r="U65" s="5"/>
      <c r="V65" s="5"/>
      <c r="W65" s="80"/>
      <c r="X65" s="80"/>
    </row>
    <row r="66" spans="1:24" ht="15" customHeight="1" x14ac:dyDescent="0.25">
      <c r="A66" s="81">
        <v>60</v>
      </c>
      <c r="B66" s="83">
        <v>10</v>
      </c>
      <c r="C66" s="77" t="s">
        <v>12</v>
      </c>
      <c r="D66" s="87"/>
      <c r="E66" s="105" t="s">
        <v>113</v>
      </c>
      <c r="F66" s="82"/>
      <c r="G66" s="3"/>
      <c r="H66" s="2"/>
      <c r="I66" s="1"/>
      <c r="J66" s="83">
        <v>139</v>
      </c>
      <c r="K66" s="2">
        <f t="shared" si="2"/>
        <v>1390</v>
      </c>
      <c r="L66" s="5"/>
      <c r="M66" s="2"/>
      <c r="N66" s="118"/>
      <c r="O66" s="118"/>
      <c r="P66" s="83"/>
      <c r="Q66" s="10"/>
      <c r="R66" s="90"/>
      <c r="S66" s="33">
        <f t="shared" si="1"/>
        <v>0</v>
      </c>
      <c r="T66" s="33"/>
      <c r="U66" s="5"/>
      <c r="V66" s="5"/>
      <c r="W66" s="80"/>
      <c r="X66" s="80"/>
    </row>
    <row r="67" spans="1:24" ht="15" customHeight="1" x14ac:dyDescent="0.25">
      <c r="A67" s="81">
        <v>61</v>
      </c>
      <c r="B67" s="83">
        <v>8</v>
      </c>
      <c r="C67" s="77" t="s">
        <v>12</v>
      </c>
      <c r="D67" s="87"/>
      <c r="E67" s="105" t="s">
        <v>114</v>
      </c>
      <c r="F67" s="82"/>
      <c r="G67" s="3"/>
      <c r="H67" s="2"/>
      <c r="I67" s="1"/>
      <c r="J67" s="83">
        <v>179</v>
      </c>
      <c r="K67" s="2">
        <f t="shared" si="2"/>
        <v>1432</v>
      </c>
      <c r="L67" s="5"/>
      <c r="M67" s="2"/>
      <c r="N67" s="118"/>
      <c r="O67" s="118"/>
      <c r="P67" s="83"/>
      <c r="Q67" s="10"/>
      <c r="R67" s="90"/>
      <c r="S67" s="33">
        <f t="shared" si="1"/>
        <v>0</v>
      </c>
      <c r="T67" s="33"/>
      <c r="U67" s="5"/>
      <c r="V67" s="5"/>
      <c r="W67" s="80"/>
      <c r="X67" s="80"/>
    </row>
    <row r="68" spans="1:24" ht="15" customHeight="1" x14ac:dyDescent="0.25">
      <c r="A68" s="81">
        <v>62</v>
      </c>
      <c r="B68" s="83">
        <v>8</v>
      </c>
      <c r="C68" s="77" t="s">
        <v>12</v>
      </c>
      <c r="D68" s="87"/>
      <c r="E68" s="105" t="s">
        <v>115</v>
      </c>
      <c r="F68" s="82"/>
      <c r="G68" s="3"/>
      <c r="H68" s="2"/>
      <c r="I68" s="1"/>
      <c r="J68" s="83">
        <v>74</v>
      </c>
      <c r="K68" s="2">
        <f t="shared" si="2"/>
        <v>592</v>
      </c>
      <c r="L68" s="5"/>
      <c r="M68" s="2"/>
      <c r="N68" s="118"/>
      <c r="O68" s="118"/>
      <c r="P68" s="83"/>
      <c r="Q68" s="10"/>
      <c r="R68" s="90"/>
      <c r="S68" s="33">
        <f t="shared" si="1"/>
        <v>0</v>
      </c>
      <c r="T68" s="33"/>
      <c r="U68" s="5"/>
      <c r="V68" s="5"/>
      <c r="W68" s="80"/>
      <c r="X68" s="80"/>
    </row>
    <row r="69" spans="1:24" ht="15" customHeight="1" x14ac:dyDescent="0.25">
      <c r="A69" s="81">
        <v>63</v>
      </c>
      <c r="B69" s="83">
        <v>8</v>
      </c>
      <c r="C69" s="77" t="s">
        <v>12</v>
      </c>
      <c r="D69" s="87"/>
      <c r="E69" s="105" t="s">
        <v>116</v>
      </c>
      <c r="F69" s="82"/>
      <c r="G69" s="3"/>
      <c r="H69" s="2"/>
      <c r="I69" s="1"/>
      <c r="J69" s="83">
        <v>74</v>
      </c>
      <c r="K69" s="2">
        <f t="shared" si="2"/>
        <v>592</v>
      </c>
      <c r="L69" s="5"/>
      <c r="M69" s="2"/>
      <c r="N69" s="118"/>
      <c r="O69" s="118"/>
      <c r="P69" s="83"/>
      <c r="Q69" s="10"/>
      <c r="R69" s="90"/>
      <c r="S69" s="33">
        <f t="shared" si="1"/>
        <v>0</v>
      </c>
      <c r="T69" s="33"/>
      <c r="U69" s="5"/>
      <c r="V69" s="5"/>
      <c r="W69" s="80"/>
      <c r="X69" s="80"/>
    </row>
    <row r="70" spans="1:24" ht="15" customHeight="1" x14ac:dyDescent="0.25">
      <c r="A70" s="81">
        <v>64</v>
      </c>
      <c r="B70" s="83">
        <v>8</v>
      </c>
      <c r="C70" s="77" t="s">
        <v>12</v>
      </c>
      <c r="D70" s="87"/>
      <c r="E70" s="105" t="s">
        <v>117</v>
      </c>
      <c r="F70" s="82"/>
      <c r="G70" s="3"/>
      <c r="H70" s="2"/>
      <c r="I70" s="1"/>
      <c r="J70" s="83">
        <v>74</v>
      </c>
      <c r="K70" s="2">
        <f t="shared" si="2"/>
        <v>592</v>
      </c>
      <c r="L70" s="5"/>
      <c r="M70" s="2"/>
      <c r="N70" s="118"/>
      <c r="O70" s="118"/>
      <c r="P70" s="83"/>
      <c r="Q70" s="10"/>
      <c r="R70" s="90"/>
      <c r="S70" s="33">
        <f t="shared" si="1"/>
        <v>0</v>
      </c>
      <c r="T70" s="33"/>
      <c r="U70" s="5"/>
      <c r="V70" s="5"/>
      <c r="W70" s="80"/>
      <c r="X70" s="80"/>
    </row>
    <row r="71" spans="1:24" ht="15" customHeight="1" x14ac:dyDescent="0.25">
      <c r="A71" s="81">
        <v>65</v>
      </c>
      <c r="B71" s="83">
        <v>5</v>
      </c>
      <c r="C71" s="77" t="s">
        <v>12</v>
      </c>
      <c r="D71" s="87"/>
      <c r="E71" s="105" t="s">
        <v>118</v>
      </c>
      <c r="F71" s="82"/>
      <c r="G71" s="3"/>
      <c r="H71" s="2"/>
      <c r="I71" s="1"/>
      <c r="J71" s="83">
        <v>205</v>
      </c>
      <c r="K71" s="2">
        <f t="shared" si="2"/>
        <v>1025</v>
      </c>
      <c r="L71" s="5"/>
      <c r="M71" s="2"/>
      <c r="N71" s="118"/>
      <c r="O71" s="118"/>
      <c r="P71" s="83"/>
      <c r="Q71" s="10"/>
      <c r="R71" s="90"/>
      <c r="S71" s="33">
        <f t="shared" ref="S71:S116" si="3">P71*R71</f>
        <v>0</v>
      </c>
      <c r="T71" s="33"/>
      <c r="U71" s="5"/>
      <c r="V71" s="5"/>
      <c r="W71" s="80"/>
      <c r="X71" s="80"/>
    </row>
    <row r="72" spans="1:24" ht="15" customHeight="1" x14ac:dyDescent="0.25">
      <c r="A72" s="81">
        <v>66</v>
      </c>
      <c r="B72" s="83">
        <v>3</v>
      </c>
      <c r="C72" s="77" t="s">
        <v>12</v>
      </c>
      <c r="D72" s="87"/>
      <c r="E72" s="105" t="s">
        <v>119</v>
      </c>
      <c r="F72" s="82"/>
      <c r="G72" s="3"/>
      <c r="H72" s="2"/>
      <c r="I72" s="1"/>
      <c r="J72" s="83">
        <v>262</v>
      </c>
      <c r="K72" s="2">
        <f t="shared" ref="K72:K116" si="4">B72*J72</f>
        <v>786</v>
      </c>
      <c r="L72" s="5"/>
      <c r="M72" s="2"/>
      <c r="N72" s="118"/>
      <c r="O72" s="118"/>
      <c r="P72" s="83"/>
      <c r="Q72" s="10"/>
      <c r="R72" s="90"/>
      <c r="S72" s="33">
        <f t="shared" si="3"/>
        <v>0</v>
      </c>
      <c r="T72" s="33"/>
      <c r="U72" s="5"/>
      <c r="V72" s="5"/>
      <c r="W72" s="80"/>
      <c r="X72" s="80"/>
    </row>
    <row r="73" spans="1:24" ht="15" customHeight="1" x14ac:dyDescent="0.25">
      <c r="A73" s="81">
        <v>67</v>
      </c>
      <c r="B73" s="83">
        <v>3</v>
      </c>
      <c r="C73" s="77" t="s">
        <v>12</v>
      </c>
      <c r="D73" s="87"/>
      <c r="E73" s="105" t="s">
        <v>120</v>
      </c>
      <c r="F73" s="82"/>
      <c r="G73" s="3"/>
      <c r="H73" s="2"/>
      <c r="I73" s="1"/>
      <c r="J73" s="83">
        <v>379</v>
      </c>
      <c r="K73" s="2">
        <f t="shared" si="4"/>
        <v>1137</v>
      </c>
      <c r="L73" s="5"/>
      <c r="M73" s="2"/>
      <c r="N73" s="118"/>
      <c r="O73" s="118"/>
      <c r="P73" s="83"/>
      <c r="Q73" s="10"/>
      <c r="R73" s="90"/>
      <c r="S73" s="33">
        <f t="shared" si="3"/>
        <v>0</v>
      </c>
      <c r="T73" s="33"/>
      <c r="U73" s="5"/>
      <c r="V73" s="5"/>
      <c r="W73" s="80"/>
      <c r="X73" s="80"/>
    </row>
    <row r="74" spans="1:24" ht="15" customHeight="1" x14ac:dyDescent="0.25">
      <c r="A74" s="81">
        <v>68</v>
      </c>
      <c r="B74" s="83">
        <v>6</v>
      </c>
      <c r="C74" s="77" t="s">
        <v>12</v>
      </c>
      <c r="D74" s="87"/>
      <c r="E74" s="105" t="s">
        <v>121</v>
      </c>
      <c r="F74" s="82"/>
      <c r="G74" s="3"/>
      <c r="H74" s="2"/>
      <c r="I74" s="1"/>
      <c r="J74" s="83">
        <v>28.9</v>
      </c>
      <c r="K74" s="2">
        <f t="shared" si="4"/>
        <v>173.39999999999998</v>
      </c>
      <c r="L74" s="5"/>
      <c r="M74" s="2"/>
      <c r="N74" s="118"/>
      <c r="O74" s="118"/>
      <c r="P74" s="83"/>
      <c r="Q74" s="10"/>
      <c r="R74" s="90"/>
      <c r="S74" s="33">
        <f t="shared" si="3"/>
        <v>0</v>
      </c>
      <c r="T74" s="33"/>
      <c r="U74" s="5"/>
      <c r="V74" s="5"/>
      <c r="W74" s="80"/>
      <c r="X74" s="80"/>
    </row>
    <row r="75" spans="1:24" ht="15" customHeight="1" x14ac:dyDescent="0.25">
      <c r="A75" s="81">
        <v>69</v>
      </c>
      <c r="B75" s="83">
        <v>6</v>
      </c>
      <c r="C75" s="77" t="s">
        <v>12</v>
      </c>
      <c r="D75" s="87"/>
      <c r="E75" s="105" t="s">
        <v>122</v>
      </c>
      <c r="F75" s="82"/>
      <c r="G75" s="3"/>
      <c r="H75" s="2"/>
      <c r="I75" s="1"/>
      <c r="J75" s="83">
        <v>28.9</v>
      </c>
      <c r="K75" s="2">
        <f t="shared" si="4"/>
        <v>173.39999999999998</v>
      </c>
      <c r="L75" s="5"/>
      <c r="M75" s="2"/>
      <c r="N75" s="118"/>
      <c r="O75" s="118"/>
      <c r="P75" s="83"/>
      <c r="Q75" s="10"/>
      <c r="R75" s="90"/>
      <c r="S75" s="33">
        <f t="shared" si="3"/>
        <v>0</v>
      </c>
      <c r="T75" s="33"/>
      <c r="U75" s="5"/>
      <c r="V75" s="5"/>
      <c r="W75" s="80"/>
      <c r="X75" s="80"/>
    </row>
    <row r="76" spans="1:24" ht="15" customHeight="1" x14ac:dyDescent="0.25">
      <c r="A76" s="81">
        <v>70</v>
      </c>
      <c r="B76" s="83">
        <v>5</v>
      </c>
      <c r="C76" s="77" t="s">
        <v>12</v>
      </c>
      <c r="D76" s="87"/>
      <c r="E76" s="105" t="s">
        <v>123</v>
      </c>
      <c r="F76" s="82"/>
      <c r="G76" s="3"/>
      <c r="H76" s="2"/>
      <c r="I76" s="1"/>
      <c r="J76" s="83">
        <v>289</v>
      </c>
      <c r="K76" s="2">
        <f t="shared" si="4"/>
        <v>1445</v>
      </c>
      <c r="L76" s="5"/>
      <c r="M76" s="2"/>
      <c r="N76" s="118"/>
      <c r="O76" s="118"/>
      <c r="P76" s="83"/>
      <c r="Q76" s="10"/>
      <c r="R76" s="90"/>
      <c r="S76" s="33">
        <f t="shared" si="3"/>
        <v>0</v>
      </c>
      <c r="T76" s="33"/>
      <c r="U76" s="5"/>
      <c r="V76" s="5"/>
      <c r="W76" s="80"/>
      <c r="X76" s="80"/>
    </row>
    <row r="77" spans="1:24" ht="15" customHeight="1" x14ac:dyDescent="0.25">
      <c r="A77" s="81">
        <v>71</v>
      </c>
      <c r="B77" s="83">
        <v>5</v>
      </c>
      <c r="C77" s="77" t="s">
        <v>12</v>
      </c>
      <c r="D77" s="87"/>
      <c r="E77" s="105" t="s">
        <v>124</v>
      </c>
      <c r="F77" s="82"/>
      <c r="G77" s="3"/>
      <c r="H77" s="2"/>
      <c r="I77" s="1"/>
      <c r="J77" s="83">
        <v>289</v>
      </c>
      <c r="K77" s="2">
        <f t="shared" si="4"/>
        <v>1445</v>
      </c>
      <c r="L77" s="5"/>
      <c r="M77" s="2"/>
      <c r="N77" s="118"/>
      <c r="O77" s="118"/>
      <c r="P77" s="83"/>
      <c r="Q77" s="10"/>
      <c r="R77" s="90"/>
      <c r="S77" s="33">
        <f t="shared" si="3"/>
        <v>0</v>
      </c>
      <c r="T77" s="33"/>
      <c r="U77" s="5"/>
      <c r="V77" s="5"/>
      <c r="W77" s="80"/>
      <c r="X77" s="80"/>
    </row>
    <row r="78" spans="1:24" ht="15" customHeight="1" x14ac:dyDescent="0.25">
      <c r="A78" s="81">
        <v>72</v>
      </c>
      <c r="B78" s="83">
        <v>5</v>
      </c>
      <c r="C78" s="77" t="s">
        <v>12</v>
      </c>
      <c r="D78" s="87"/>
      <c r="E78" s="105" t="s">
        <v>125</v>
      </c>
      <c r="F78" s="82"/>
      <c r="G78" s="3"/>
      <c r="H78" s="2"/>
      <c r="I78" s="1"/>
      <c r="J78" s="83">
        <v>339</v>
      </c>
      <c r="K78" s="2">
        <f t="shared" si="4"/>
        <v>1695</v>
      </c>
      <c r="L78" s="5"/>
      <c r="M78" s="2"/>
      <c r="N78" s="118"/>
      <c r="O78" s="118"/>
      <c r="P78" s="83"/>
      <c r="Q78" s="10"/>
      <c r="R78" s="90"/>
      <c r="S78" s="33">
        <f t="shared" si="3"/>
        <v>0</v>
      </c>
      <c r="T78" s="33"/>
      <c r="U78" s="5"/>
      <c r="V78" s="5"/>
      <c r="W78" s="80"/>
      <c r="X78" s="80"/>
    </row>
    <row r="79" spans="1:24" ht="15" customHeight="1" x14ac:dyDescent="0.25">
      <c r="A79" s="81">
        <v>73</v>
      </c>
      <c r="B79" s="83">
        <v>4</v>
      </c>
      <c r="C79" s="77" t="s">
        <v>12</v>
      </c>
      <c r="D79" s="87"/>
      <c r="E79" s="105" t="s">
        <v>126</v>
      </c>
      <c r="F79" s="82"/>
      <c r="G79" s="3"/>
      <c r="H79" s="2"/>
      <c r="I79" s="1"/>
      <c r="J79" s="83">
        <v>108</v>
      </c>
      <c r="K79" s="2">
        <f t="shared" si="4"/>
        <v>432</v>
      </c>
      <c r="L79" s="5"/>
      <c r="M79" s="2"/>
      <c r="N79" s="118"/>
      <c r="O79" s="118"/>
      <c r="P79" s="83"/>
      <c r="Q79" s="10"/>
      <c r="R79" s="90"/>
      <c r="S79" s="33">
        <f t="shared" si="3"/>
        <v>0</v>
      </c>
      <c r="T79" s="33"/>
      <c r="U79" s="5"/>
      <c r="V79" s="5"/>
      <c r="W79" s="80"/>
      <c r="X79" s="80"/>
    </row>
    <row r="80" spans="1:24" ht="15" customHeight="1" x14ac:dyDescent="0.25">
      <c r="A80" s="81">
        <v>74</v>
      </c>
      <c r="B80" s="83">
        <v>4</v>
      </c>
      <c r="C80" s="77" t="s">
        <v>12</v>
      </c>
      <c r="D80" s="87"/>
      <c r="E80" s="105" t="s">
        <v>127</v>
      </c>
      <c r="F80" s="82"/>
      <c r="G80" s="3"/>
      <c r="H80" s="2"/>
      <c r="I80" s="1"/>
      <c r="J80" s="83">
        <v>120</v>
      </c>
      <c r="K80" s="2">
        <f t="shared" si="4"/>
        <v>480</v>
      </c>
      <c r="L80" s="5"/>
      <c r="M80" s="2"/>
      <c r="N80" s="118"/>
      <c r="O80" s="118"/>
      <c r="P80" s="83"/>
      <c r="Q80" s="10"/>
      <c r="R80" s="90"/>
      <c r="S80" s="33">
        <f t="shared" si="3"/>
        <v>0</v>
      </c>
      <c r="T80" s="33"/>
      <c r="U80" s="5"/>
      <c r="V80" s="5"/>
      <c r="W80" s="80"/>
      <c r="X80" s="80"/>
    </row>
    <row r="81" spans="1:24" ht="15" customHeight="1" x14ac:dyDescent="0.25">
      <c r="A81" s="81">
        <v>75</v>
      </c>
      <c r="B81" s="83">
        <v>12</v>
      </c>
      <c r="C81" s="77" t="s">
        <v>12</v>
      </c>
      <c r="D81" s="87"/>
      <c r="E81" s="105" t="s">
        <v>128</v>
      </c>
      <c r="F81" s="82"/>
      <c r="G81" s="3"/>
      <c r="H81" s="2"/>
      <c r="I81" s="1"/>
      <c r="J81" s="83">
        <v>40</v>
      </c>
      <c r="K81" s="2">
        <f t="shared" si="4"/>
        <v>480</v>
      </c>
      <c r="L81" s="5"/>
      <c r="M81" s="2"/>
      <c r="N81" s="118"/>
      <c r="O81" s="118"/>
      <c r="P81" s="83"/>
      <c r="Q81" s="10"/>
      <c r="R81" s="90"/>
      <c r="S81" s="33">
        <f t="shared" si="3"/>
        <v>0</v>
      </c>
      <c r="T81" s="33"/>
      <c r="U81" s="5"/>
      <c r="V81" s="5"/>
      <c r="W81" s="80"/>
      <c r="X81" s="80"/>
    </row>
    <row r="82" spans="1:24" ht="15" customHeight="1" x14ac:dyDescent="0.25">
      <c r="A82" s="81">
        <v>76</v>
      </c>
      <c r="B82" s="83">
        <v>6</v>
      </c>
      <c r="C82" s="77" t="s">
        <v>12</v>
      </c>
      <c r="D82" s="87"/>
      <c r="E82" s="105" t="s">
        <v>129</v>
      </c>
      <c r="F82" s="82"/>
      <c r="G82" s="3"/>
      <c r="H82" s="2"/>
      <c r="I82" s="1"/>
      <c r="J82" s="83">
        <v>40</v>
      </c>
      <c r="K82" s="2">
        <f t="shared" si="4"/>
        <v>240</v>
      </c>
      <c r="L82" s="5"/>
      <c r="M82" s="2"/>
      <c r="N82" s="118"/>
      <c r="O82" s="118"/>
      <c r="P82" s="83"/>
      <c r="Q82" s="10"/>
      <c r="R82" s="90"/>
      <c r="S82" s="33">
        <f t="shared" si="3"/>
        <v>0</v>
      </c>
      <c r="T82" s="33"/>
      <c r="U82" s="5"/>
      <c r="V82" s="5"/>
      <c r="W82" s="80"/>
      <c r="X82" s="80"/>
    </row>
    <row r="83" spans="1:24" ht="15" customHeight="1" x14ac:dyDescent="0.25">
      <c r="A83" s="81">
        <v>77</v>
      </c>
      <c r="B83" s="83">
        <v>6</v>
      </c>
      <c r="C83" s="77" t="s">
        <v>12</v>
      </c>
      <c r="D83" s="87"/>
      <c r="E83" s="105" t="s">
        <v>130</v>
      </c>
      <c r="F83" s="82"/>
      <c r="G83" s="3"/>
      <c r="H83" s="2"/>
      <c r="I83" s="1"/>
      <c r="J83" s="83">
        <v>40</v>
      </c>
      <c r="K83" s="2">
        <f t="shared" si="4"/>
        <v>240</v>
      </c>
      <c r="L83" s="5"/>
      <c r="M83" s="2"/>
      <c r="N83" s="118"/>
      <c r="O83" s="118"/>
      <c r="P83" s="83"/>
      <c r="Q83" s="10"/>
      <c r="R83" s="90"/>
      <c r="S83" s="33">
        <f t="shared" si="3"/>
        <v>0</v>
      </c>
      <c r="T83" s="33"/>
      <c r="U83" s="5"/>
      <c r="V83" s="5"/>
      <c r="W83" s="80"/>
      <c r="X83" s="80"/>
    </row>
    <row r="84" spans="1:24" ht="15" customHeight="1" x14ac:dyDescent="0.25">
      <c r="A84" s="81">
        <v>78</v>
      </c>
      <c r="B84" s="83">
        <v>6</v>
      </c>
      <c r="C84" s="77" t="s">
        <v>12</v>
      </c>
      <c r="D84" s="87"/>
      <c r="E84" s="105" t="s">
        <v>131</v>
      </c>
      <c r="F84" s="82"/>
      <c r="G84" s="3"/>
      <c r="H84" s="2"/>
      <c r="I84" s="1"/>
      <c r="J84" s="83">
        <v>40</v>
      </c>
      <c r="K84" s="2">
        <f t="shared" si="4"/>
        <v>240</v>
      </c>
      <c r="L84" s="5"/>
      <c r="M84" s="2"/>
      <c r="N84" s="118"/>
      <c r="O84" s="118"/>
      <c r="P84" s="83"/>
      <c r="Q84" s="10"/>
      <c r="R84" s="90"/>
      <c r="S84" s="33">
        <f t="shared" si="3"/>
        <v>0</v>
      </c>
      <c r="T84" s="33"/>
      <c r="U84" s="5"/>
      <c r="V84" s="5"/>
      <c r="W84" s="80"/>
      <c r="X84" s="80"/>
    </row>
    <row r="85" spans="1:24" ht="15" customHeight="1" x14ac:dyDescent="0.25">
      <c r="A85" s="81">
        <v>79</v>
      </c>
      <c r="B85" s="83">
        <v>3</v>
      </c>
      <c r="C85" s="77" t="s">
        <v>12</v>
      </c>
      <c r="D85" s="87"/>
      <c r="E85" s="105" t="s">
        <v>132</v>
      </c>
      <c r="F85" s="82"/>
      <c r="G85" s="3"/>
      <c r="H85" s="2"/>
      <c r="I85" s="1"/>
      <c r="J85" s="83">
        <v>84.9</v>
      </c>
      <c r="K85" s="2">
        <f t="shared" si="4"/>
        <v>254.70000000000002</v>
      </c>
      <c r="L85" s="5"/>
      <c r="M85" s="2"/>
      <c r="N85" s="118"/>
      <c r="O85" s="118"/>
      <c r="P85" s="83"/>
      <c r="Q85" s="10"/>
      <c r="R85" s="90"/>
      <c r="S85" s="33">
        <f t="shared" si="3"/>
        <v>0</v>
      </c>
      <c r="T85" s="33"/>
      <c r="U85" s="5"/>
      <c r="V85" s="5"/>
      <c r="W85" s="80"/>
      <c r="X85" s="80"/>
    </row>
    <row r="86" spans="1:24" ht="15" customHeight="1" x14ac:dyDescent="0.25">
      <c r="A86" s="81">
        <v>80</v>
      </c>
      <c r="B86" s="83">
        <v>5</v>
      </c>
      <c r="C86" s="77" t="s">
        <v>12</v>
      </c>
      <c r="D86" s="87"/>
      <c r="E86" s="105" t="s">
        <v>133</v>
      </c>
      <c r="F86" s="82"/>
      <c r="G86" s="3"/>
      <c r="H86" s="2"/>
      <c r="I86" s="1"/>
      <c r="J86" s="83">
        <v>87.9</v>
      </c>
      <c r="K86" s="2">
        <f t="shared" si="4"/>
        <v>439.5</v>
      </c>
      <c r="L86" s="5"/>
      <c r="M86" s="2"/>
      <c r="N86" s="118"/>
      <c r="O86" s="118"/>
      <c r="P86" s="83"/>
      <c r="Q86" s="10"/>
      <c r="R86" s="90"/>
      <c r="S86" s="33">
        <f t="shared" si="3"/>
        <v>0</v>
      </c>
      <c r="T86" s="33"/>
      <c r="U86" s="5"/>
      <c r="V86" s="5"/>
      <c r="W86" s="80"/>
      <c r="X86" s="80"/>
    </row>
    <row r="87" spans="1:24" ht="15" customHeight="1" x14ac:dyDescent="0.25">
      <c r="A87" s="81">
        <v>81</v>
      </c>
      <c r="B87" s="83">
        <v>8</v>
      </c>
      <c r="C87" s="77" t="s">
        <v>12</v>
      </c>
      <c r="D87" s="87"/>
      <c r="E87" s="105" t="s">
        <v>134</v>
      </c>
      <c r="F87" s="82"/>
      <c r="G87" s="3"/>
      <c r="H87" s="2"/>
      <c r="I87" s="1"/>
      <c r="J87" s="83">
        <v>87.9</v>
      </c>
      <c r="K87" s="2">
        <f t="shared" si="4"/>
        <v>703.2</v>
      </c>
      <c r="L87" s="5"/>
      <c r="M87" s="2"/>
      <c r="N87" s="118"/>
      <c r="O87" s="118"/>
      <c r="P87" s="83"/>
      <c r="Q87" s="10"/>
      <c r="R87" s="90"/>
      <c r="S87" s="33">
        <f t="shared" si="3"/>
        <v>0</v>
      </c>
      <c r="T87" s="33"/>
      <c r="U87" s="5"/>
      <c r="V87" s="5"/>
      <c r="W87" s="80"/>
      <c r="X87" s="80"/>
    </row>
    <row r="88" spans="1:24" ht="15" customHeight="1" x14ac:dyDescent="0.25">
      <c r="A88" s="81">
        <v>82</v>
      </c>
      <c r="B88" s="83">
        <v>2</v>
      </c>
      <c r="C88" s="77" t="s">
        <v>12</v>
      </c>
      <c r="D88" s="87"/>
      <c r="E88" s="105" t="s">
        <v>135</v>
      </c>
      <c r="F88" s="82"/>
      <c r="G88" s="3"/>
      <c r="H88" s="2"/>
      <c r="I88" s="1"/>
      <c r="J88" s="83">
        <v>399</v>
      </c>
      <c r="K88" s="2">
        <f t="shared" si="4"/>
        <v>798</v>
      </c>
      <c r="L88" s="5"/>
      <c r="M88" s="2"/>
      <c r="N88" s="118"/>
      <c r="O88" s="118"/>
      <c r="P88" s="83"/>
      <c r="Q88" s="10"/>
      <c r="R88" s="90"/>
      <c r="S88" s="33">
        <f t="shared" si="3"/>
        <v>0</v>
      </c>
      <c r="T88" s="33"/>
      <c r="U88" s="5"/>
      <c r="V88" s="5"/>
      <c r="W88" s="80"/>
      <c r="X88" s="80"/>
    </row>
    <row r="89" spans="1:24" ht="15" customHeight="1" x14ac:dyDescent="0.25">
      <c r="A89" s="81">
        <v>83</v>
      </c>
      <c r="B89" s="83">
        <v>2</v>
      </c>
      <c r="C89" s="77" t="s">
        <v>12</v>
      </c>
      <c r="D89" s="87"/>
      <c r="E89" s="105" t="s">
        <v>136</v>
      </c>
      <c r="F89" s="82"/>
      <c r="G89" s="3"/>
      <c r="H89" s="2"/>
      <c r="I89" s="1"/>
      <c r="J89" s="83">
        <v>299</v>
      </c>
      <c r="K89" s="2">
        <f t="shared" si="4"/>
        <v>598</v>
      </c>
      <c r="L89" s="5"/>
      <c r="M89" s="2"/>
      <c r="N89" s="118"/>
      <c r="O89" s="118"/>
      <c r="P89" s="83"/>
      <c r="Q89" s="10"/>
      <c r="R89" s="90"/>
      <c r="S89" s="33">
        <f t="shared" si="3"/>
        <v>0</v>
      </c>
      <c r="T89" s="33"/>
      <c r="U89" s="5"/>
      <c r="V89" s="5"/>
      <c r="W89" s="80"/>
      <c r="X89" s="80"/>
    </row>
    <row r="90" spans="1:24" ht="15" customHeight="1" x14ac:dyDescent="0.25">
      <c r="A90" s="81">
        <v>84</v>
      </c>
      <c r="B90" s="83">
        <v>1</v>
      </c>
      <c r="C90" s="77" t="s">
        <v>12</v>
      </c>
      <c r="D90" s="87"/>
      <c r="E90" s="105" t="s">
        <v>137</v>
      </c>
      <c r="F90" s="82"/>
      <c r="G90" s="3"/>
      <c r="H90" s="2"/>
      <c r="I90" s="1"/>
      <c r="J90" s="83">
        <v>299</v>
      </c>
      <c r="K90" s="2">
        <f t="shared" si="4"/>
        <v>299</v>
      </c>
      <c r="L90" s="5"/>
      <c r="M90" s="2"/>
      <c r="N90" s="118"/>
      <c r="O90" s="118"/>
      <c r="P90" s="83"/>
      <c r="Q90" s="10"/>
      <c r="R90" s="90"/>
      <c r="S90" s="33">
        <f t="shared" si="3"/>
        <v>0</v>
      </c>
      <c r="T90" s="33"/>
      <c r="U90" s="5"/>
      <c r="V90" s="5"/>
      <c r="W90" s="80"/>
      <c r="X90" s="80"/>
    </row>
    <row r="91" spans="1:24" ht="15" customHeight="1" x14ac:dyDescent="0.25">
      <c r="A91" s="81">
        <v>85</v>
      </c>
      <c r="B91" s="83">
        <v>2</v>
      </c>
      <c r="C91" s="77" t="s">
        <v>12</v>
      </c>
      <c r="D91" s="87"/>
      <c r="E91" s="105" t="s">
        <v>138</v>
      </c>
      <c r="F91" s="82"/>
      <c r="G91" s="3"/>
      <c r="H91" s="2"/>
      <c r="I91" s="1"/>
      <c r="J91" s="83">
        <v>269</v>
      </c>
      <c r="K91" s="2">
        <f t="shared" si="4"/>
        <v>538</v>
      </c>
      <c r="L91" s="5"/>
      <c r="M91" s="2"/>
      <c r="N91" s="118"/>
      <c r="O91" s="118"/>
      <c r="P91" s="83"/>
      <c r="Q91" s="10"/>
      <c r="R91" s="90"/>
      <c r="S91" s="33">
        <f t="shared" si="3"/>
        <v>0</v>
      </c>
      <c r="T91" s="33"/>
      <c r="U91" s="5"/>
      <c r="V91" s="5"/>
      <c r="W91" s="80"/>
      <c r="X91" s="80"/>
    </row>
    <row r="92" spans="1:24" ht="15" customHeight="1" x14ac:dyDescent="0.25">
      <c r="A92" s="81">
        <v>86</v>
      </c>
      <c r="B92" s="83">
        <v>1</v>
      </c>
      <c r="C92" s="77" t="s">
        <v>12</v>
      </c>
      <c r="D92" s="87"/>
      <c r="E92" s="105" t="s">
        <v>139</v>
      </c>
      <c r="F92" s="82"/>
      <c r="G92" s="3"/>
      <c r="H92" s="2"/>
      <c r="I92" s="1"/>
      <c r="J92" s="83">
        <v>269</v>
      </c>
      <c r="K92" s="2">
        <f t="shared" si="4"/>
        <v>269</v>
      </c>
      <c r="L92" s="5"/>
      <c r="M92" s="2"/>
      <c r="N92" s="118"/>
      <c r="O92" s="118"/>
      <c r="P92" s="83"/>
      <c r="Q92" s="10"/>
      <c r="R92" s="90"/>
      <c r="S92" s="33">
        <f t="shared" si="3"/>
        <v>0</v>
      </c>
      <c r="T92" s="33"/>
      <c r="U92" s="5"/>
      <c r="V92" s="5"/>
      <c r="W92" s="80"/>
      <c r="X92" s="80"/>
    </row>
    <row r="93" spans="1:24" ht="15" customHeight="1" x14ac:dyDescent="0.25">
      <c r="A93" s="81">
        <v>87</v>
      </c>
      <c r="B93" s="83">
        <v>5</v>
      </c>
      <c r="C93" s="77" t="s">
        <v>12</v>
      </c>
      <c r="D93" s="87"/>
      <c r="E93" s="105" t="s">
        <v>140</v>
      </c>
      <c r="F93" s="82"/>
      <c r="G93" s="3"/>
      <c r="H93" s="2"/>
      <c r="I93" s="1"/>
      <c r="J93" s="83">
        <v>69</v>
      </c>
      <c r="K93" s="2">
        <f t="shared" si="4"/>
        <v>345</v>
      </c>
      <c r="L93" s="5"/>
      <c r="M93" s="2"/>
      <c r="N93" s="118"/>
      <c r="O93" s="118"/>
      <c r="P93" s="83"/>
      <c r="Q93" s="10"/>
      <c r="R93" s="90"/>
      <c r="S93" s="33">
        <f t="shared" si="3"/>
        <v>0</v>
      </c>
      <c r="T93" s="33"/>
      <c r="U93" s="5"/>
      <c r="V93" s="5"/>
      <c r="W93" s="80"/>
      <c r="X93" s="80"/>
    </row>
    <row r="94" spans="1:24" ht="15" customHeight="1" x14ac:dyDescent="0.25">
      <c r="A94" s="81">
        <v>88</v>
      </c>
      <c r="B94" s="83">
        <v>10</v>
      </c>
      <c r="C94" s="77" t="s">
        <v>12</v>
      </c>
      <c r="D94" s="87"/>
      <c r="E94" s="105" t="s">
        <v>141</v>
      </c>
      <c r="F94" s="82"/>
      <c r="G94" s="3"/>
      <c r="H94" s="2"/>
      <c r="I94" s="1"/>
      <c r="J94" s="83">
        <v>169</v>
      </c>
      <c r="K94" s="2">
        <f t="shared" si="4"/>
        <v>1690</v>
      </c>
      <c r="L94" s="5"/>
      <c r="M94" s="2"/>
      <c r="N94" s="118"/>
      <c r="O94" s="118"/>
      <c r="P94" s="83"/>
      <c r="Q94" s="10"/>
      <c r="R94" s="90"/>
      <c r="S94" s="33">
        <f t="shared" si="3"/>
        <v>0</v>
      </c>
      <c r="T94" s="33"/>
      <c r="U94" s="5"/>
      <c r="V94" s="5"/>
      <c r="W94" s="80"/>
      <c r="X94" s="80"/>
    </row>
    <row r="95" spans="1:24" ht="15" customHeight="1" x14ac:dyDescent="0.25">
      <c r="A95" s="81">
        <v>89</v>
      </c>
      <c r="B95" s="83">
        <v>4</v>
      </c>
      <c r="C95" s="77" t="s">
        <v>12</v>
      </c>
      <c r="D95" s="87"/>
      <c r="E95" s="105" t="s">
        <v>142</v>
      </c>
      <c r="F95" s="82"/>
      <c r="G95" s="3"/>
      <c r="H95" s="2"/>
      <c r="I95" s="1"/>
      <c r="J95" s="83">
        <v>469</v>
      </c>
      <c r="K95" s="2">
        <f t="shared" si="4"/>
        <v>1876</v>
      </c>
      <c r="L95" s="5"/>
      <c r="M95" s="2"/>
      <c r="N95" s="118"/>
      <c r="O95" s="118"/>
      <c r="P95" s="83"/>
      <c r="Q95" s="10"/>
      <c r="R95" s="90"/>
      <c r="S95" s="33">
        <f t="shared" si="3"/>
        <v>0</v>
      </c>
      <c r="T95" s="33"/>
      <c r="U95" s="5"/>
      <c r="V95" s="5"/>
      <c r="W95" s="80"/>
      <c r="X95" s="80"/>
    </row>
    <row r="96" spans="1:24" ht="15" customHeight="1" x14ac:dyDescent="0.25">
      <c r="A96" s="81">
        <v>90</v>
      </c>
      <c r="B96" s="83">
        <v>4</v>
      </c>
      <c r="C96" s="77" t="s">
        <v>12</v>
      </c>
      <c r="D96" s="87"/>
      <c r="E96" s="105" t="s">
        <v>143</v>
      </c>
      <c r="F96" s="82"/>
      <c r="G96" s="3"/>
      <c r="H96" s="2"/>
      <c r="I96" s="1"/>
      <c r="J96" s="83">
        <v>425</v>
      </c>
      <c r="K96" s="2">
        <f t="shared" si="4"/>
        <v>1700</v>
      </c>
      <c r="L96" s="5"/>
      <c r="M96" s="2"/>
      <c r="N96" s="118"/>
      <c r="O96" s="118"/>
      <c r="P96" s="83"/>
      <c r="Q96" s="10"/>
      <c r="R96" s="90"/>
      <c r="S96" s="33">
        <f t="shared" si="3"/>
        <v>0</v>
      </c>
      <c r="T96" s="33"/>
      <c r="U96" s="5"/>
      <c r="V96" s="5"/>
      <c r="W96" s="80"/>
      <c r="X96" s="80"/>
    </row>
    <row r="97" spans="1:24" ht="15" customHeight="1" x14ac:dyDescent="0.25">
      <c r="A97" s="81">
        <v>91</v>
      </c>
      <c r="B97" s="83">
        <v>4</v>
      </c>
      <c r="C97" s="77" t="s">
        <v>12</v>
      </c>
      <c r="D97" s="87"/>
      <c r="E97" s="105" t="s">
        <v>144</v>
      </c>
      <c r="F97" s="82"/>
      <c r="G97" s="3"/>
      <c r="H97" s="2"/>
      <c r="I97" s="1"/>
      <c r="J97" s="83">
        <v>425</v>
      </c>
      <c r="K97" s="2">
        <f t="shared" si="4"/>
        <v>1700</v>
      </c>
      <c r="L97" s="5"/>
      <c r="M97" s="2"/>
      <c r="N97" s="118"/>
      <c r="O97" s="118"/>
      <c r="P97" s="83"/>
      <c r="Q97" s="10"/>
      <c r="R97" s="90"/>
      <c r="S97" s="33">
        <f t="shared" si="3"/>
        <v>0</v>
      </c>
      <c r="T97" s="33"/>
      <c r="U97" s="5"/>
      <c r="V97" s="5"/>
      <c r="W97" s="80"/>
      <c r="X97" s="80"/>
    </row>
    <row r="98" spans="1:24" ht="15" customHeight="1" x14ac:dyDescent="0.25">
      <c r="A98" s="81">
        <v>92</v>
      </c>
      <c r="B98" s="83">
        <v>10</v>
      </c>
      <c r="C98" s="77" t="s">
        <v>12</v>
      </c>
      <c r="D98" s="87"/>
      <c r="E98" s="105" t="s">
        <v>145</v>
      </c>
      <c r="F98" s="82"/>
      <c r="G98" s="3"/>
      <c r="H98" s="2"/>
      <c r="I98" s="1"/>
      <c r="J98" s="83">
        <v>11</v>
      </c>
      <c r="K98" s="2">
        <f t="shared" si="4"/>
        <v>110</v>
      </c>
      <c r="L98" s="5"/>
      <c r="M98" s="2"/>
      <c r="N98" s="118"/>
      <c r="O98" s="118"/>
      <c r="P98" s="83"/>
      <c r="Q98" s="10"/>
      <c r="R98" s="90"/>
      <c r="S98" s="33">
        <f t="shared" si="3"/>
        <v>0</v>
      </c>
      <c r="T98" s="33"/>
      <c r="U98" s="5"/>
      <c r="V98" s="5"/>
      <c r="W98" s="80"/>
      <c r="X98" s="80"/>
    </row>
    <row r="99" spans="1:24" ht="15" customHeight="1" x14ac:dyDescent="0.25">
      <c r="A99" s="81">
        <v>93</v>
      </c>
      <c r="B99" s="83">
        <v>10</v>
      </c>
      <c r="C99" s="77" t="s">
        <v>12</v>
      </c>
      <c r="D99" s="87"/>
      <c r="E99" s="105" t="s">
        <v>146</v>
      </c>
      <c r="F99" s="82"/>
      <c r="G99" s="3"/>
      <c r="H99" s="2"/>
      <c r="I99" s="1"/>
      <c r="J99" s="83">
        <v>11</v>
      </c>
      <c r="K99" s="2">
        <f t="shared" si="4"/>
        <v>110</v>
      </c>
      <c r="L99" s="5"/>
      <c r="M99" s="2"/>
      <c r="N99" s="118"/>
      <c r="O99" s="118"/>
      <c r="P99" s="83"/>
      <c r="Q99" s="10"/>
      <c r="R99" s="90"/>
      <c r="S99" s="33">
        <f t="shared" si="3"/>
        <v>0</v>
      </c>
      <c r="T99" s="33"/>
      <c r="U99" s="5"/>
      <c r="V99" s="5"/>
      <c r="W99" s="80"/>
      <c r="X99" s="80"/>
    </row>
    <row r="100" spans="1:24" ht="15" customHeight="1" x14ac:dyDescent="0.25">
      <c r="A100" s="81">
        <v>94</v>
      </c>
      <c r="B100" s="83">
        <v>1</v>
      </c>
      <c r="C100" s="77" t="s">
        <v>12</v>
      </c>
      <c r="D100" s="87"/>
      <c r="E100" s="105" t="s">
        <v>147</v>
      </c>
      <c r="F100" s="82"/>
      <c r="G100" s="3"/>
      <c r="H100" s="2"/>
      <c r="I100" s="1"/>
      <c r="J100" s="83">
        <v>181</v>
      </c>
      <c r="K100" s="2">
        <f t="shared" si="4"/>
        <v>181</v>
      </c>
      <c r="L100" s="5"/>
      <c r="M100" s="2"/>
      <c r="N100" s="118"/>
      <c r="O100" s="118"/>
      <c r="P100" s="83"/>
      <c r="Q100" s="10"/>
      <c r="R100" s="90"/>
      <c r="S100" s="33">
        <f t="shared" si="3"/>
        <v>0</v>
      </c>
      <c r="T100" s="33"/>
      <c r="U100" s="5"/>
      <c r="V100" s="5"/>
      <c r="W100" s="80"/>
      <c r="X100" s="80"/>
    </row>
    <row r="101" spans="1:24" ht="15" customHeight="1" x14ac:dyDescent="0.25">
      <c r="A101" s="81">
        <v>95</v>
      </c>
      <c r="B101" s="83">
        <v>5</v>
      </c>
      <c r="C101" s="77" t="s">
        <v>12</v>
      </c>
      <c r="D101" s="87"/>
      <c r="E101" s="105" t="s">
        <v>148</v>
      </c>
      <c r="F101" s="82"/>
      <c r="G101" s="3"/>
      <c r="H101" s="2"/>
      <c r="I101" s="1"/>
      <c r="J101" s="83">
        <v>325</v>
      </c>
      <c r="K101" s="2">
        <f t="shared" si="4"/>
        <v>1625</v>
      </c>
      <c r="L101" s="5"/>
      <c r="M101" s="2"/>
      <c r="N101" s="118"/>
      <c r="O101" s="118"/>
      <c r="P101" s="83"/>
      <c r="Q101" s="10"/>
      <c r="R101" s="90"/>
      <c r="S101" s="33">
        <f t="shared" si="3"/>
        <v>0</v>
      </c>
      <c r="T101" s="33"/>
      <c r="U101" s="5"/>
      <c r="V101" s="5"/>
      <c r="W101" s="80"/>
      <c r="X101" s="80"/>
    </row>
    <row r="102" spans="1:24" ht="15" customHeight="1" x14ac:dyDescent="0.25">
      <c r="A102" s="81">
        <v>96</v>
      </c>
      <c r="B102" s="83">
        <v>5</v>
      </c>
      <c r="C102" s="77" t="s">
        <v>12</v>
      </c>
      <c r="D102" s="87"/>
      <c r="E102" s="105" t="s">
        <v>149</v>
      </c>
      <c r="F102" s="82"/>
      <c r="G102" s="3"/>
      <c r="H102" s="2"/>
      <c r="I102" s="1"/>
      <c r="J102" s="83">
        <v>141</v>
      </c>
      <c r="K102" s="2">
        <f t="shared" si="4"/>
        <v>705</v>
      </c>
      <c r="L102" s="5"/>
      <c r="M102" s="2"/>
      <c r="N102" s="118"/>
      <c r="O102" s="118"/>
      <c r="P102" s="83"/>
      <c r="Q102" s="10"/>
      <c r="R102" s="90"/>
      <c r="S102" s="33">
        <f t="shared" si="3"/>
        <v>0</v>
      </c>
      <c r="T102" s="33"/>
      <c r="U102" s="5"/>
      <c r="V102" s="5"/>
      <c r="W102" s="80"/>
      <c r="X102" s="80"/>
    </row>
    <row r="103" spans="1:24" ht="15" customHeight="1" x14ac:dyDescent="0.25">
      <c r="A103" s="81">
        <v>97</v>
      </c>
      <c r="B103" s="83">
        <v>4</v>
      </c>
      <c r="C103" s="77" t="s">
        <v>12</v>
      </c>
      <c r="D103" s="87"/>
      <c r="E103" s="105" t="s">
        <v>150</v>
      </c>
      <c r="F103" s="82"/>
      <c r="G103" s="3"/>
      <c r="H103" s="2"/>
      <c r="I103" s="1"/>
      <c r="J103" s="83">
        <v>119</v>
      </c>
      <c r="K103" s="2">
        <f t="shared" si="4"/>
        <v>476</v>
      </c>
      <c r="L103" s="5"/>
      <c r="M103" s="2"/>
      <c r="N103" s="118"/>
      <c r="O103" s="118"/>
      <c r="P103" s="83"/>
      <c r="Q103" s="10"/>
      <c r="R103" s="90"/>
      <c r="S103" s="33">
        <f t="shared" si="3"/>
        <v>0</v>
      </c>
      <c r="T103" s="33"/>
      <c r="U103" s="5"/>
      <c r="V103" s="5"/>
      <c r="W103" s="80"/>
      <c r="X103" s="80"/>
    </row>
    <row r="104" spans="1:24" ht="15" customHeight="1" x14ac:dyDescent="0.25">
      <c r="A104" s="81">
        <v>98</v>
      </c>
      <c r="B104" s="83">
        <v>6</v>
      </c>
      <c r="C104" s="77" t="s">
        <v>12</v>
      </c>
      <c r="D104" s="87"/>
      <c r="E104" s="105" t="s">
        <v>151</v>
      </c>
      <c r="F104" s="82"/>
      <c r="G104" s="3"/>
      <c r="H104" s="2"/>
      <c r="I104" s="1"/>
      <c r="J104" s="83">
        <v>118</v>
      </c>
      <c r="K104" s="2">
        <f t="shared" si="4"/>
        <v>708</v>
      </c>
      <c r="L104" s="5"/>
      <c r="M104" s="2"/>
      <c r="N104" s="118"/>
      <c r="O104" s="118"/>
      <c r="P104" s="83"/>
      <c r="Q104" s="10"/>
      <c r="R104" s="90"/>
      <c r="S104" s="33">
        <f t="shared" si="3"/>
        <v>0</v>
      </c>
      <c r="T104" s="33"/>
      <c r="U104" s="5"/>
      <c r="V104" s="5"/>
      <c r="W104" s="80"/>
      <c r="X104" s="80"/>
    </row>
    <row r="105" spans="1:24" ht="15" customHeight="1" x14ac:dyDescent="0.25">
      <c r="A105" s="81">
        <v>99</v>
      </c>
      <c r="B105" s="83">
        <v>18</v>
      </c>
      <c r="C105" s="77" t="s">
        <v>12</v>
      </c>
      <c r="D105" s="87"/>
      <c r="E105" s="105" t="s">
        <v>152</v>
      </c>
      <c r="F105" s="82"/>
      <c r="G105" s="3"/>
      <c r="H105" s="2"/>
      <c r="I105" s="1"/>
      <c r="J105" s="83">
        <v>12.9</v>
      </c>
      <c r="K105" s="2">
        <f t="shared" si="4"/>
        <v>232.20000000000002</v>
      </c>
      <c r="L105" s="5"/>
      <c r="M105" s="2"/>
      <c r="N105" s="118"/>
      <c r="O105" s="118"/>
      <c r="P105" s="83"/>
      <c r="Q105" s="10"/>
      <c r="R105" s="90"/>
      <c r="S105" s="33">
        <f t="shared" si="3"/>
        <v>0</v>
      </c>
      <c r="T105" s="33"/>
      <c r="U105" s="5"/>
      <c r="V105" s="5"/>
      <c r="W105" s="80"/>
      <c r="X105" s="80"/>
    </row>
    <row r="106" spans="1:24" ht="15" customHeight="1" x14ac:dyDescent="0.25">
      <c r="A106" s="81">
        <v>100</v>
      </c>
      <c r="B106" s="83">
        <v>20</v>
      </c>
      <c r="C106" s="77" t="s">
        <v>12</v>
      </c>
      <c r="D106" s="87"/>
      <c r="E106" s="105" t="s">
        <v>153</v>
      </c>
      <c r="F106" s="82"/>
      <c r="G106" s="3"/>
      <c r="H106" s="2"/>
      <c r="I106" s="1"/>
      <c r="J106" s="83">
        <v>12.9</v>
      </c>
      <c r="K106" s="2">
        <f t="shared" si="4"/>
        <v>258</v>
      </c>
      <c r="L106" s="5"/>
      <c r="M106" s="2"/>
      <c r="N106" s="118"/>
      <c r="O106" s="118"/>
      <c r="P106" s="83"/>
      <c r="Q106" s="10"/>
      <c r="R106" s="90"/>
      <c r="S106" s="33">
        <f t="shared" si="3"/>
        <v>0</v>
      </c>
      <c r="T106" s="33"/>
      <c r="U106" s="5"/>
      <c r="V106" s="5"/>
      <c r="W106" s="80"/>
      <c r="X106" s="80"/>
    </row>
    <row r="107" spans="1:24" ht="15" customHeight="1" x14ac:dyDescent="0.25">
      <c r="A107" s="81">
        <v>101</v>
      </c>
      <c r="B107" s="83">
        <v>20</v>
      </c>
      <c r="C107" s="77" t="s">
        <v>12</v>
      </c>
      <c r="D107" s="87"/>
      <c r="E107" s="105" t="s">
        <v>154</v>
      </c>
      <c r="F107" s="82"/>
      <c r="G107" s="3"/>
      <c r="H107" s="2"/>
      <c r="I107" s="1"/>
      <c r="J107" s="83">
        <v>12.9</v>
      </c>
      <c r="K107" s="2">
        <f t="shared" si="4"/>
        <v>258</v>
      </c>
      <c r="L107" s="5"/>
      <c r="M107" s="2"/>
      <c r="N107" s="118"/>
      <c r="O107" s="118"/>
      <c r="P107" s="83"/>
      <c r="Q107" s="10"/>
      <c r="R107" s="90"/>
      <c r="S107" s="33">
        <f t="shared" si="3"/>
        <v>0</v>
      </c>
      <c r="T107" s="33"/>
      <c r="U107" s="5"/>
      <c r="V107" s="5"/>
      <c r="W107" s="80"/>
      <c r="X107" s="80"/>
    </row>
    <row r="108" spans="1:24" ht="15" customHeight="1" x14ac:dyDescent="0.25">
      <c r="A108" s="81">
        <v>102</v>
      </c>
      <c r="B108" s="83">
        <v>20</v>
      </c>
      <c r="C108" s="77" t="s">
        <v>12</v>
      </c>
      <c r="D108" s="87"/>
      <c r="E108" s="105" t="s">
        <v>155</v>
      </c>
      <c r="F108" s="82"/>
      <c r="G108" s="3"/>
      <c r="H108" s="2"/>
      <c r="I108" s="1"/>
      <c r="J108" s="83">
        <v>12.9</v>
      </c>
      <c r="K108" s="2">
        <f t="shared" si="4"/>
        <v>258</v>
      </c>
      <c r="L108" s="5"/>
      <c r="M108" s="2"/>
      <c r="N108" s="118"/>
      <c r="O108" s="118"/>
      <c r="P108" s="83"/>
      <c r="Q108" s="10"/>
      <c r="R108" s="90"/>
      <c r="S108" s="33">
        <f t="shared" si="3"/>
        <v>0</v>
      </c>
      <c r="T108" s="33"/>
      <c r="U108" s="5"/>
      <c r="V108" s="5"/>
      <c r="W108" s="80"/>
      <c r="X108" s="80"/>
    </row>
    <row r="109" spans="1:24" ht="15" customHeight="1" x14ac:dyDescent="0.25">
      <c r="A109" s="81">
        <v>103</v>
      </c>
      <c r="B109" s="83">
        <v>30</v>
      </c>
      <c r="C109" s="77" t="s">
        <v>12</v>
      </c>
      <c r="D109" s="87"/>
      <c r="E109" s="105" t="s">
        <v>156</v>
      </c>
      <c r="F109" s="82"/>
      <c r="G109" s="3"/>
      <c r="H109" s="2"/>
      <c r="I109" s="1"/>
      <c r="J109" s="83">
        <v>7.9</v>
      </c>
      <c r="K109" s="2">
        <f t="shared" si="4"/>
        <v>237</v>
      </c>
      <c r="L109" s="5"/>
      <c r="M109" s="2"/>
      <c r="N109" s="118"/>
      <c r="O109" s="118"/>
      <c r="P109" s="83"/>
      <c r="Q109" s="10"/>
      <c r="R109" s="90"/>
      <c r="S109" s="33">
        <f t="shared" si="3"/>
        <v>0</v>
      </c>
      <c r="T109" s="33"/>
      <c r="U109" s="5"/>
      <c r="V109" s="5"/>
      <c r="W109" s="80"/>
      <c r="X109" s="80"/>
    </row>
    <row r="110" spans="1:24" ht="15" customHeight="1" x14ac:dyDescent="0.25">
      <c r="A110" s="81">
        <v>104</v>
      </c>
      <c r="B110" s="83">
        <v>30</v>
      </c>
      <c r="C110" s="77" t="s">
        <v>12</v>
      </c>
      <c r="D110" s="87"/>
      <c r="E110" s="105" t="s">
        <v>157</v>
      </c>
      <c r="F110" s="82"/>
      <c r="G110" s="3"/>
      <c r="H110" s="2"/>
      <c r="I110" s="1"/>
      <c r="J110" s="83">
        <v>7.9</v>
      </c>
      <c r="K110" s="2">
        <f t="shared" si="4"/>
        <v>237</v>
      </c>
      <c r="L110" s="5"/>
      <c r="M110" s="2"/>
      <c r="N110" s="118"/>
      <c r="O110" s="118"/>
      <c r="P110" s="83"/>
      <c r="Q110" s="10"/>
      <c r="R110" s="90"/>
      <c r="S110" s="33">
        <f t="shared" si="3"/>
        <v>0</v>
      </c>
      <c r="T110" s="33"/>
      <c r="U110" s="5"/>
      <c r="V110" s="5"/>
      <c r="W110" s="80"/>
      <c r="X110" s="80"/>
    </row>
    <row r="111" spans="1:24" ht="15" customHeight="1" x14ac:dyDescent="0.25">
      <c r="A111" s="81">
        <v>105</v>
      </c>
      <c r="B111" s="83">
        <v>30</v>
      </c>
      <c r="C111" s="77" t="s">
        <v>12</v>
      </c>
      <c r="D111" s="87"/>
      <c r="E111" s="105" t="s">
        <v>158</v>
      </c>
      <c r="F111" s="82"/>
      <c r="G111" s="3"/>
      <c r="H111" s="2"/>
      <c r="I111" s="1"/>
      <c r="J111" s="83">
        <v>7.9</v>
      </c>
      <c r="K111" s="2">
        <f t="shared" si="4"/>
        <v>237</v>
      </c>
      <c r="L111" s="5"/>
      <c r="M111" s="2"/>
      <c r="N111" s="118"/>
      <c r="O111" s="118"/>
      <c r="P111" s="83"/>
      <c r="Q111" s="10"/>
      <c r="R111" s="90"/>
      <c r="S111" s="33">
        <f t="shared" si="3"/>
        <v>0</v>
      </c>
      <c r="T111" s="33"/>
      <c r="U111" s="5"/>
      <c r="V111" s="5"/>
      <c r="W111" s="80"/>
      <c r="X111" s="80"/>
    </row>
    <row r="112" spans="1:24" ht="15" customHeight="1" x14ac:dyDescent="0.25">
      <c r="A112" s="81">
        <v>106</v>
      </c>
      <c r="B112" s="83">
        <v>5</v>
      </c>
      <c r="C112" s="77" t="s">
        <v>12</v>
      </c>
      <c r="D112" s="87"/>
      <c r="E112" s="105" t="s">
        <v>159</v>
      </c>
      <c r="F112" s="82"/>
      <c r="G112" s="3"/>
      <c r="H112" s="2"/>
      <c r="I112" s="1"/>
      <c r="J112" s="83">
        <v>299</v>
      </c>
      <c r="K112" s="2">
        <f t="shared" si="4"/>
        <v>1495</v>
      </c>
      <c r="L112" s="5"/>
      <c r="M112" s="2"/>
      <c r="N112" s="118"/>
      <c r="O112" s="118"/>
      <c r="P112" s="83"/>
      <c r="Q112" s="10"/>
      <c r="R112" s="90"/>
      <c r="S112" s="33">
        <f t="shared" si="3"/>
        <v>0</v>
      </c>
      <c r="T112" s="33"/>
      <c r="U112" s="5"/>
      <c r="V112" s="5"/>
      <c r="W112" s="80"/>
      <c r="X112" s="80"/>
    </row>
    <row r="113" spans="1:26" ht="15" customHeight="1" x14ac:dyDescent="0.25">
      <c r="A113" s="81">
        <v>107</v>
      </c>
      <c r="B113" s="83">
        <v>20</v>
      </c>
      <c r="C113" s="77" t="s">
        <v>12</v>
      </c>
      <c r="D113" s="87"/>
      <c r="E113" s="105" t="s">
        <v>160</v>
      </c>
      <c r="F113" s="82"/>
      <c r="G113" s="3"/>
      <c r="H113" s="2"/>
      <c r="I113" s="1"/>
      <c r="J113" s="83">
        <v>25.9</v>
      </c>
      <c r="K113" s="2">
        <f t="shared" si="4"/>
        <v>518</v>
      </c>
      <c r="L113" s="5"/>
      <c r="M113" s="2"/>
      <c r="N113" s="118"/>
      <c r="O113" s="118"/>
      <c r="P113" s="83"/>
      <c r="Q113" s="10"/>
      <c r="R113" s="90"/>
      <c r="S113" s="33">
        <f t="shared" si="3"/>
        <v>0</v>
      </c>
      <c r="T113" s="33"/>
      <c r="U113" s="5"/>
      <c r="V113" s="5"/>
      <c r="W113" s="80"/>
      <c r="X113" s="80"/>
    </row>
    <row r="114" spans="1:26" ht="15" customHeight="1" x14ac:dyDescent="0.25">
      <c r="A114" s="81">
        <v>108</v>
      </c>
      <c r="B114" s="83">
        <v>20</v>
      </c>
      <c r="C114" s="77" t="s">
        <v>12</v>
      </c>
      <c r="D114" s="87"/>
      <c r="E114" s="105" t="s">
        <v>161</v>
      </c>
      <c r="F114" s="82"/>
      <c r="G114" s="3"/>
      <c r="H114" s="2"/>
      <c r="I114" s="1"/>
      <c r="J114" s="83">
        <v>25.9</v>
      </c>
      <c r="K114" s="2">
        <f t="shared" si="4"/>
        <v>518</v>
      </c>
      <c r="L114" s="5"/>
      <c r="M114" s="2"/>
      <c r="N114" s="118"/>
      <c r="O114" s="118"/>
      <c r="P114" s="83"/>
      <c r="Q114" s="10"/>
      <c r="R114" s="90"/>
      <c r="S114" s="33">
        <f t="shared" si="3"/>
        <v>0</v>
      </c>
      <c r="T114" s="33"/>
      <c r="U114" s="5"/>
      <c r="V114" s="5"/>
      <c r="W114" s="80"/>
      <c r="X114" s="80"/>
    </row>
    <row r="115" spans="1:26" ht="15" customHeight="1" x14ac:dyDescent="0.25">
      <c r="A115" s="81">
        <v>109</v>
      </c>
      <c r="B115" s="83">
        <v>15</v>
      </c>
      <c r="C115" s="77" t="s">
        <v>12</v>
      </c>
      <c r="D115" s="87"/>
      <c r="E115" s="105" t="s">
        <v>162</v>
      </c>
      <c r="F115" s="82"/>
      <c r="G115" s="3"/>
      <c r="H115" s="2"/>
      <c r="I115" s="1"/>
      <c r="J115" s="83">
        <v>39</v>
      </c>
      <c r="K115" s="2">
        <f t="shared" si="4"/>
        <v>585</v>
      </c>
      <c r="L115" s="5"/>
      <c r="M115" s="2"/>
      <c r="N115" s="118"/>
      <c r="O115" s="118"/>
      <c r="P115" s="83"/>
      <c r="Q115" s="10"/>
      <c r="R115" s="90"/>
      <c r="S115" s="33">
        <f t="shared" si="3"/>
        <v>0</v>
      </c>
      <c r="T115" s="33"/>
      <c r="U115" s="5"/>
      <c r="V115" s="5"/>
      <c r="W115" s="80"/>
      <c r="X115" s="80"/>
    </row>
    <row r="116" spans="1:26" ht="15" customHeight="1" x14ac:dyDescent="0.25">
      <c r="A116" s="81">
        <v>110</v>
      </c>
      <c r="B116" s="83">
        <v>18</v>
      </c>
      <c r="C116" s="77" t="s">
        <v>12</v>
      </c>
      <c r="D116" s="87"/>
      <c r="E116" s="105" t="s">
        <v>163</v>
      </c>
      <c r="F116" s="82"/>
      <c r="G116" s="3"/>
      <c r="H116" s="2"/>
      <c r="I116" s="1"/>
      <c r="J116" s="83">
        <v>329</v>
      </c>
      <c r="K116" s="2">
        <f t="shared" si="4"/>
        <v>5922</v>
      </c>
      <c r="L116" s="5"/>
      <c r="M116" s="2"/>
      <c r="N116" s="118"/>
      <c r="O116" s="118"/>
      <c r="P116" s="83"/>
      <c r="Q116" s="10"/>
      <c r="R116" s="90"/>
      <c r="S116" s="33">
        <f t="shared" si="3"/>
        <v>0</v>
      </c>
      <c r="T116" s="33"/>
      <c r="U116" s="5"/>
      <c r="V116" s="5"/>
      <c r="W116" s="80"/>
      <c r="X116" s="80"/>
    </row>
    <row r="117" spans="1:26" ht="15" customHeight="1" x14ac:dyDescent="0.25">
      <c r="A117" s="35"/>
      <c r="B117" s="36"/>
      <c r="C117" s="22"/>
      <c r="E117" s="37"/>
      <c r="H117" s="115" t="s">
        <v>30</v>
      </c>
      <c r="I117" s="115"/>
      <c r="J117" s="116">
        <f>SUM(K7:K45)</f>
        <v>21306.419999999995</v>
      </c>
      <c r="K117" s="117"/>
      <c r="L117" s="32"/>
      <c r="M117" s="35"/>
      <c r="N117" s="38"/>
      <c r="O117" s="38"/>
      <c r="P117" s="39"/>
      <c r="Q117" s="40" t="s">
        <v>51</v>
      </c>
      <c r="R117" s="41"/>
      <c r="S117" s="109" t="s">
        <v>52</v>
      </c>
      <c r="T117" s="109" t="s">
        <v>53</v>
      </c>
      <c r="U117" s="32"/>
      <c r="V117" s="32"/>
      <c r="Y117" s="11"/>
      <c r="Z117" s="11"/>
    </row>
    <row r="118" spans="1:26" ht="15" customHeight="1" x14ac:dyDescent="0.25">
      <c r="A118" s="35"/>
      <c r="B118" s="36"/>
      <c r="C118" s="22"/>
      <c r="E118" s="37"/>
      <c r="F118" s="42"/>
      <c r="H118" s="115" t="s">
        <v>31</v>
      </c>
      <c r="I118" s="115"/>
      <c r="J118" s="116">
        <f>J117</f>
        <v>21306.419999999995</v>
      </c>
      <c r="K118" s="116"/>
      <c r="L118" s="32"/>
      <c r="M118" s="35"/>
      <c r="N118" s="38"/>
      <c r="O118" s="38"/>
      <c r="P118" s="39"/>
      <c r="R118" s="43"/>
      <c r="S118" s="109"/>
      <c r="T118" s="109"/>
      <c r="U118" s="32"/>
      <c r="V118" s="32"/>
      <c r="Y118" s="13"/>
      <c r="Z118" s="13"/>
    </row>
    <row r="119" spans="1:26" ht="15" customHeight="1" x14ac:dyDescent="0.25">
      <c r="A119" s="35"/>
      <c r="B119" s="44"/>
      <c r="C119" s="35"/>
      <c r="E119" s="37"/>
      <c r="F119" s="12"/>
      <c r="G119" s="35"/>
      <c r="I119" s="35"/>
      <c r="J119" s="45"/>
      <c r="K119" s="45"/>
      <c r="L119" s="32"/>
      <c r="M119" s="35"/>
      <c r="N119" s="38"/>
      <c r="O119" s="38"/>
      <c r="P119" s="39"/>
      <c r="R119" s="43"/>
      <c r="S119" s="46"/>
      <c r="T119" s="46"/>
      <c r="U119" s="32"/>
      <c r="V119" s="32"/>
      <c r="Y119" s="14"/>
      <c r="Z119" s="14"/>
    </row>
    <row r="120" spans="1:26" ht="15" customHeight="1" x14ac:dyDescent="0.25">
      <c r="A120" s="35"/>
      <c r="B120" s="44"/>
      <c r="C120" s="35"/>
      <c r="E120" s="37"/>
      <c r="F120" s="12"/>
      <c r="G120" s="35"/>
      <c r="I120" s="35"/>
      <c r="J120" s="45"/>
      <c r="K120" s="45"/>
      <c r="L120" s="32"/>
      <c r="M120" s="35"/>
      <c r="N120" s="38"/>
      <c r="O120" s="38"/>
      <c r="P120" s="39"/>
      <c r="R120" s="43"/>
      <c r="S120" s="46"/>
      <c r="T120" s="46"/>
      <c r="U120" s="32"/>
      <c r="V120" s="32"/>
      <c r="Y120" s="14"/>
      <c r="Z120" s="14"/>
    </row>
    <row r="121" spans="1:26" s="4" customFormat="1" ht="15" customHeight="1" x14ac:dyDescent="0.25">
      <c r="A121" s="35"/>
      <c r="B121" s="44"/>
      <c r="C121" s="35"/>
      <c r="D121" s="63"/>
      <c r="E121" s="37"/>
      <c r="F121" s="12"/>
      <c r="G121" s="35"/>
      <c r="H121" s="18"/>
      <c r="I121" s="35"/>
      <c r="J121" s="45"/>
      <c r="K121" s="45"/>
      <c r="L121" s="32"/>
      <c r="M121" s="35"/>
      <c r="N121" s="38"/>
      <c r="O121" s="38"/>
      <c r="P121" s="39"/>
      <c r="Q121" s="20"/>
      <c r="R121" s="43"/>
      <c r="S121" s="46"/>
      <c r="T121" s="62"/>
      <c r="U121" s="32"/>
      <c r="V121" s="32"/>
      <c r="Y121" s="15"/>
      <c r="Z121" s="15"/>
    </row>
    <row r="122" spans="1:26" s="4" customFormat="1" ht="15" customHeight="1" x14ac:dyDescent="0.2">
      <c r="A122" s="35"/>
      <c r="B122" s="44"/>
      <c r="C122" s="35"/>
      <c r="D122" s="63"/>
      <c r="E122" s="37"/>
      <c r="F122" s="12"/>
      <c r="G122" s="35"/>
      <c r="H122" s="112"/>
      <c r="I122" s="112"/>
      <c r="J122" s="113"/>
      <c r="K122" s="113"/>
      <c r="L122" s="32"/>
      <c r="M122" s="35"/>
      <c r="N122" s="38"/>
      <c r="O122" s="38"/>
      <c r="P122" s="39"/>
      <c r="Q122" s="47"/>
      <c r="R122" s="48" t="s">
        <v>32</v>
      </c>
      <c r="S122" s="48"/>
      <c r="T122" s="43"/>
      <c r="U122" s="32"/>
      <c r="V122" s="32"/>
      <c r="Y122" s="15"/>
      <c r="Z122" s="15"/>
    </row>
    <row r="123" spans="1:26" s="4" customFormat="1" ht="15" customHeight="1" x14ac:dyDescent="0.2">
      <c r="A123" s="35"/>
      <c r="B123" s="44"/>
      <c r="C123" s="35"/>
      <c r="D123" s="63"/>
      <c r="E123" s="37"/>
      <c r="F123" s="12"/>
      <c r="G123" s="35"/>
      <c r="H123" s="49"/>
      <c r="I123" s="35"/>
      <c r="J123" s="45"/>
      <c r="K123" s="45"/>
      <c r="L123" s="32"/>
      <c r="M123" s="35"/>
      <c r="N123" s="38"/>
      <c r="O123" s="38"/>
      <c r="P123" s="39"/>
      <c r="Q123" s="47"/>
      <c r="R123" s="35"/>
      <c r="S123" s="35"/>
      <c r="T123" s="43"/>
      <c r="U123" s="32"/>
      <c r="V123" s="32"/>
      <c r="Y123" s="13"/>
      <c r="Z123" s="13"/>
    </row>
    <row r="124" spans="1:26" s="4" customFormat="1" ht="15" customHeight="1" x14ac:dyDescent="0.2">
      <c r="A124" s="35"/>
      <c r="B124" s="44"/>
      <c r="C124" s="35"/>
      <c r="D124" s="63"/>
      <c r="E124" s="37"/>
      <c r="F124" s="12"/>
      <c r="G124" s="35"/>
      <c r="H124" s="18"/>
      <c r="I124" s="35"/>
      <c r="J124" s="45"/>
      <c r="K124" s="45"/>
      <c r="L124" s="32"/>
      <c r="M124" s="35"/>
      <c r="N124" s="38"/>
      <c r="O124" s="38"/>
      <c r="P124" s="39"/>
      <c r="Q124" s="47"/>
      <c r="R124" s="43"/>
      <c r="S124" s="43"/>
      <c r="T124" s="43"/>
      <c r="U124" s="32"/>
      <c r="V124" s="32"/>
      <c r="Y124" s="11"/>
      <c r="Z124" s="11"/>
    </row>
    <row r="125" spans="1:26" s="4" customFormat="1" ht="15" customHeight="1" x14ac:dyDescent="0.2">
      <c r="A125" s="35"/>
      <c r="B125" s="44"/>
      <c r="C125" s="35"/>
      <c r="D125" s="63"/>
      <c r="E125" s="37"/>
      <c r="F125" s="12"/>
      <c r="G125" s="35"/>
      <c r="H125" s="18"/>
      <c r="I125" s="35"/>
      <c r="J125" s="45"/>
      <c r="K125" s="45"/>
      <c r="L125" s="32"/>
      <c r="M125" s="35"/>
      <c r="N125" s="38"/>
      <c r="O125" s="38"/>
      <c r="P125" s="39"/>
      <c r="Q125" s="47"/>
      <c r="R125" s="43"/>
      <c r="S125" s="43"/>
      <c r="T125" s="43"/>
      <c r="U125" s="32"/>
      <c r="V125" s="32"/>
      <c r="Y125" s="11"/>
      <c r="Z125" s="11"/>
    </row>
    <row r="126" spans="1:26" s="4" customFormat="1" ht="15" customHeight="1" x14ac:dyDescent="0.2">
      <c r="A126" s="35"/>
      <c r="B126" s="44"/>
      <c r="C126" s="35"/>
      <c r="D126" s="63"/>
      <c r="E126" s="37"/>
      <c r="F126" s="12"/>
      <c r="G126" s="35"/>
      <c r="H126" s="18"/>
      <c r="I126" s="35"/>
      <c r="J126" s="45"/>
      <c r="K126" s="45"/>
      <c r="L126" s="32"/>
      <c r="M126" s="35"/>
      <c r="N126" s="38"/>
      <c r="O126" s="38"/>
      <c r="P126" s="39"/>
      <c r="Q126" s="47"/>
      <c r="R126" s="43"/>
      <c r="S126" s="43"/>
      <c r="T126" s="43"/>
      <c r="U126" s="32"/>
      <c r="V126" s="32"/>
      <c r="Y126" s="11"/>
      <c r="Z126" s="11"/>
    </row>
    <row r="127" spans="1:26" s="4" customFormat="1" ht="15" customHeight="1" x14ac:dyDescent="0.2">
      <c r="A127" s="35"/>
      <c r="B127" s="44"/>
      <c r="C127" s="35"/>
      <c r="D127" s="63"/>
      <c r="E127" s="37"/>
      <c r="F127" s="12"/>
      <c r="G127" s="35"/>
      <c r="H127" s="18"/>
      <c r="I127" s="35"/>
      <c r="J127" s="45"/>
      <c r="K127" s="45"/>
      <c r="L127" s="32"/>
      <c r="M127" s="35"/>
      <c r="N127" s="38"/>
      <c r="O127" s="38"/>
      <c r="P127" s="39"/>
      <c r="Q127" s="47"/>
      <c r="R127" s="43"/>
      <c r="S127" s="43"/>
      <c r="T127" s="43"/>
      <c r="U127" s="32"/>
      <c r="V127" s="32"/>
      <c r="Y127" s="15"/>
      <c r="Z127" s="15"/>
    </row>
    <row r="128" spans="1:26" s="4" customFormat="1" ht="15" customHeight="1" x14ac:dyDescent="0.2">
      <c r="A128" s="35"/>
      <c r="B128" s="44"/>
      <c r="C128" s="35"/>
      <c r="D128" s="63"/>
      <c r="E128" s="37"/>
      <c r="F128" s="12"/>
      <c r="G128" s="35"/>
      <c r="H128" s="18"/>
      <c r="I128" s="35"/>
      <c r="J128" s="45"/>
      <c r="K128" s="45"/>
      <c r="L128" s="32"/>
      <c r="M128" s="35"/>
      <c r="N128" s="38"/>
      <c r="O128" s="38"/>
      <c r="P128" s="39"/>
      <c r="Q128" s="47"/>
      <c r="R128" s="43"/>
      <c r="S128" s="43"/>
      <c r="T128" s="43"/>
      <c r="U128" s="32"/>
      <c r="V128" s="32"/>
    </row>
    <row r="129" spans="1:22" s="4" customFormat="1" ht="15" customHeight="1" x14ac:dyDescent="0.2">
      <c r="A129" s="35"/>
      <c r="B129" s="44"/>
      <c r="C129" s="35"/>
      <c r="D129" s="63"/>
      <c r="E129" s="37"/>
      <c r="F129" s="12"/>
      <c r="G129" s="35"/>
      <c r="H129" s="18"/>
      <c r="I129" s="35"/>
      <c r="J129" s="45"/>
      <c r="K129" s="45"/>
      <c r="L129" s="32"/>
      <c r="M129" s="35"/>
      <c r="N129" s="38"/>
      <c r="O129" s="38"/>
      <c r="P129" s="39"/>
      <c r="Q129" s="47"/>
      <c r="R129" s="43"/>
      <c r="S129" s="43"/>
      <c r="T129" s="43"/>
      <c r="U129" s="32"/>
      <c r="V129" s="32"/>
    </row>
    <row r="130" spans="1:22" s="4" customFormat="1" ht="15" customHeight="1" x14ac:dyDescent="0.25">
      <c r="A130" s="35"/>
      <c r="B130" s="44"/>
      <c r="C130" s="35"/>
      <c r="D130" s="63"/>
      <c r="E130" s="37"/>
      <c r="F130" s="50" t="s">
        <v>33</v>
      </c>
      <c r="G130" s="51" t="s">
        <v>34</v>
      </c>
      <c r="H130" s="52">
        <v>1</v>
      </c>
      <c r="I130" s="53" t="s">
        <v>54</v>
      </c>
      <c r="J130" s="45"/>
      <c r="K130" s="45"/>
      <c r="L130" s="32"/>
      <c r="M130" s="35"/>
      <c r="N130" s="38"/>
      <c r="O130" s="38"/>
      <c r="P130" s="39"/>
      <c r="Q130" s="47"/>
      <c r="R130" s="20"/>
      <c r="S130" s="20"/>
      <c r="T130" s="43"/>
      <c r="U130" s="32"/>
      <c r="V130" s="32"/>
    </row>
    <row r="131" spans="1:22" s="4" customFormat="1" ht="15" customHeight="1" x14ac:dyDescent="0.2">
      <c r="A131" s="35"/>
      <c r="B131" s="44"/>
      <c r="C131" s="35"/>
      <c r="D131" s="63"/>
      <c r="E131" s="37"/>
      <c r="F131" s="50" t="s">
        <v>35</v>
      </c>
      <c r="G131" s="54" t="s">
        <v>36</v>
      </c>
      <c r="H131" s="55">
        <v>304.45</v>
      </c>
      <c r="I131" s="56" t="s">
        <v>37</v>
      </c>
      <c r="J131" s="45"/>
      <c r="K131" s="45"/>
      <c r="L131" s="32"/>
      <c r="M131" s="35"/>
      <c r="N131" s="38"/>
      <c r="O131" s="38"/>
      <c r="P131" s="39"/>
      <c r="Q131" s="47"/>
      <c r="R131" s="43"/>
      <c r="S131" s="43"/>
      <c r="T131" s="43"/>
      <c r="U131" s="32"/>
      <c r="V131" s="32"/>
    </row>
    <row r="132" spans="1:22" s="4" customFormat="1" ht="15" customHeight="1" x14ac:dyDescent="0.2">
      <c r="A132" s="35"/>
      <c r="B132" s="44"/>
      <c r="C132" s="35"/>
      <c r="D132" s="63"/>
      <c r="E132" s="37"/>
      <c r="F132" s="50" t="s">
        <v>38</v>
      </c>
      <c r="G132" s="57" t="s">
        <v>39</v>
      </c>
      <c r="H132" s="58">
        <v>350</v>
      </c>
      <c r="I132" s="59" t="s">
        <v>37</v>
      </c>
      <c r="J132" s="45"/>
      <c r="K132" s="45"/>
      <c r="L132" s="32"/>
      <c r="M132" s="35"/>
      <c r="N132" s="38"/>
      <c r="O132" s="38"/>
      <c r="P132" s="39"/>
      <c r="Q132" s="47"/>
      <c r="R132" s="43"/>
      <c r="S132" s="43"/>
      <c r="T132" s="43"/>
      <c r="U132" s="32"/>
      <c r="V132" s="32"/>
    </row>
    <row r="133" spans="1:22" s="4" customFormat="1" ht="15" customHeight="1" x14ac:dyDescent="0.2">
      <c r="A133" s="35"/>
      <c r="B133" s="44"/>
      <c r="C133" s="35"/>
      <c r="D133" s="63"/>
      <c r="E133" s="37"/>
      <c r="F133" s="60" t="s">
        <v>40</v>
      </c>
      <c r="G133" s="35"/>
      <c r="H133" s="18"/>
      <c r="I133" s="35"/>
      <c r="J133" s="45"/>
      <c r="K133" s="45"/>
      <c r="L133" s="32"/>
      <c r="M133" s="35"/>
      <c r="N133" s="38"/>
      <c r="O133" s="38"/>
      <c r="P133" s="39"/>
      <c r="Q133" s="47"/>
      <c r="R133" s="43"/>
      <c r="S133" s="43"/>
      <c r="T133" s="43"/>
      <c r="U133" s="32"/>
      <c r="V133" s="32"/>
    </row>
    <row r="134" spans="1:22" s="4" customFormat="1" ht="15" customHeight="1" x14ac:dyDescent="0.2">
      <c r="A134" s="35"/>
      <c r="B134" s="44"/>
      <c r="C134" s="35"/>
      <c r="D134" s="63"/>
      <c r="E134" s="37"/>
      <c r="F134" s="12"/>
      <c r="G134" s="35"/>
      <c r="H134" s="18"/>
      <c r="I134" s="35"/>
      <c r="J134" s="45"/>
      <c r="K134" s="45"/>
      <c r="L134" s="32"/>
      <c r="M134" s="35"/>
      <c r="N134" s="38"/>
      <c r="O134" s="38"/>
      <c r="P134" s="39"/>
      <c r="Q134" s="47"/>
      <c r="R134" s="43"/>
      <c r="S134" s="43"/>
      <c r="T134" s="43"/>
      <c r="U134" s="32"/>
      <c r="V134" s="32"/>
    </row>
    <row r="135" spans="1:22" s="4" customFormat="1" ht="15" customHeight="1" x14ac:dyDescent="0.2">
      <c r="A135" s="35"/>
      <c r="B135" s="44"/>
      <c r="C135" s="35"/>
      <c r="D135" s="63"/>
      <c r="E135" s="37"/>
      <c r="F135" s="12" t="s">
        <v>45</v>
      </c>
      <c r="G135" s="35"/>
      <c r="H135" s="18"/>
      <c r="I135" s="35"/>
      <c r="J135" s="45"/>
      <c r="K135" s="45"/>
      <c r="L135" s="32"/>
      <c r="M135" s="35"/>
      <c r="N135" s="38"/>
      <c r="O135" s="38"/>
      <c r="P135" s="39"/>
      <c r="Q135" s="47"/>
      <c r="R135" s="43"/>
      <c r="S135" s="43"/>
      <c r="T135" s="43"/>
      <c r="U135" s="32"/>
      <c r="V135" s="32"/>
    </row>
    <row r="136" spans="1:22" s="4" customFormat="1" ht="15" customHeight="1" x14ac:dyDescent="0.2">
      <c r="A136" s="35"/>
      <c r="B136" s="44"/>
      <c r="C136" s="35"/>
      <c r="D136" s="63"/>
      <c r="E136" s="37"/>
      <c r="F136" s="12" t="s">
        <v>46</v>
      </c>
      <c r="G136" s="35"/>
      <c r="H136" s="18"/>
      <c r="I136" s="35"/>
      <c r="J136" s="45"/>
      <c r="K136" s="45"/>
      <c r="L136" s="32"/>
      <c r="M136" s="35"/>
      <c r="N136" s="38"/>
      <c r="O136" s="38"/>
      <c r="P136" s="39"/>
      <c r="Q136" s="47"/>
      <c r="R136" s="43"/>
      <c r="S136" s="43"/>
      <c r="T136" s="43"/>
      <c r="U136" s="32"/>
      <c r="V136" s="32"/>
    </row>
    <row r="137" spans="1:22" s="4" customFormat="1" ht="15" customHeight="1" x14ac:dyDescent="0.25">
      <c r="A137" s="35"/>
      <c r="B137" s="44"/>
      <c r="C137" s="35"/>
      <c r="D137" s="63"/>
      <c r="E137" s="37"/>
      <c r="F137" s="12" t="s">
        <v>41</v>
      </c>
      <c r="G137" s="22"/>
      <c r="H137" s="18"/>
      <c r="I137" s="22"/>
      <c r="J137" s="45"/>
      <c r="K137" s="45"/>
      <c r="L137" s="32"/>
      <c r="M137" s="35"/>
      <c r="N137" s="38"/>
      <c r="O137" s="38"/>
      <c r="P137" s="39"/>
      <c r="Q137" s="47"/>
      <c r="R137" s="43"/>
      <c r="S137" s="43"/>
      <c r="T137" s="43"/>
      <c r="U137" s="32"/>
      <c r="V137" s="32"/>
    </row>
    <row r="138" spans="1:22" s="4" customFormat="1" ht="15" customHeight="1" x14ac:dyDescent="0.25">
      <c r="A138" s="35"/>
      <c r="B138" s="44"/>
      <c r="C138" s="35"/>
      <c r="D138" s="63"/>
      <c r="E138" s="37"/>
      <c r="F138" s="12" t="s">
        <v>47</v>
      </c>
      <c r="G138" s="22"/>
      <c r="H138" s="18"/>
      <c r="I138" s="22"/>
      <c r="J138" s="45"/>
      <c r="K138" s="45"/>
      <c r="L138" s="32"/>
      <c r="M138" s="35"/>
      <c r="N138" s="38"/>
      <c r="O138" s="38"/>
      <c r="P138" s="39"/>
      <c r="Q138" s="47"/>
      <c r="R138" s="43"/>
      <c r="S138" s="43"/>
      <c r="T138" s="43"/>
      <c r="U138" s="32"/>
      <c r="V138" s="32"/>
    </row>
    <row r="139" spans="1:22" s="4" customFormat="1" ht="15" customHeight="1" x14ac:dyDescent="0.25">
      <c r="A139" s="35"/>
      <c r="B139" s="44"/>
      <c r="C139" s="35"/>
      <c r="D139" s="63"/>
      <c r="E139" s="37"/>
      <c r="F139" s="12" t="s">
        <v>48</v>
      </c>
      <c r="G139" s="22"/>
      <c r="H139" s="18"/>
      <c r="I139" s="22"/>
      <c r="J139" s="45"/>
      <c r="K139" s="45"/>
      <c r="L139" s="32"/>
      <c r="M139" s="35"/>
      <c r="N139" s="38"/>
      <c r="O139" s="38"/>
      <c r="P139" s="39"/>
      <c r="Q139" s="47"/>
      <c r="R139" s="43"/>
      <c r="S139" s="43"/>
      <c r="T139" s="43"/>
      <c r="U139" s="32"/>
      <c r="V139" s="32"/>
    </row>
    <row r="140" spans="1:22" s="4" customFormat="1" ht="15" customHeight="1" x14ac:dyDescent="0.25">
      <c r="A140" s="35"/>
      <c r="B140" s="44"/>
      <c r="C140" s="35"/>
      <c r="D140" s="63"/>
      <c r="E140" s="37"/>
      <c r="F140" s="20"/>
      <c r="G140" s="22"/>
      <c r="H140" s="18"/>
      <c r="I140" s="22"/>
      <c r="J140" s="45"/>
      <c r="K140" s="45"/>
      <c r="L140" s="32"/>
      <c r="M140" s="35"/>
      <c r="N140" s="38"/>
      <c r="O140" s="38"/>
      <c r="P140" s="39"/>
      <c r="Q140" s="47"/>
      <c r="R140" s="43"/>
      <c r="S140" s="43"/>
      <c r="T140" s="43"/>
      <c r="U140" s="32"/>
      <c r="V140" s="32"/>
    </row>
    <row r="141" spans="1:22" s="4" customFormat="1" ht="15" customHeight="1" x14ac:dyDescent="0.25">
      <c r="A141" s="35"/>
      <c r="B141" s="44"/>
      <c r="C141" s="35"/>
      <c r="D141" s="63"/>
      <c r="E141" s="37"/>
      <c r="F141" s="20"/>
      <c r="G141" s="22"/>
      <c r="H141" s="18"/>
      <c r="I141" s="22"/>
      <c r="J141" s="45"/>
      <c r="K141" s="45"/>
      <c r="L141" s="32"/>
      <c r="M141" s="35"/>
      <c r="N141" s="38"/>
      <c r="O141" s="38"/>
      <c r="P141" s="39"/>
      <c r="Q141" s="47"/>
      <c r="R141" s="43"/>
      <c r="S141" s="43"/>
      <c r="T141" s="43"/>
      <c r="U141" s="32"/>
      <c r="V141" s="32"/>
    </row>
    <row r="142" spans="1:22" s="4" customFormat="1" ht="15" customHeight="1" x14ac:dyDescent="0.25">
      <c r="A142" s="35"/>
      <c r="B142" s="44"/>
      <c r="C142" s="35"/>
      <c r="D142" s="63"/>
      <c r="E142" s="37"/>
      <c r="F142" s="20"/>
      <c r="G142" s="48"/>
      <c r="H142" s="61" t="s">
        <v>42</v>
      </c>
      <c r="I142" s="48"/>
      <c r="J142" s="45"/>
      <c r="K142" s="45"/>
      <c r="L142" s="32"/>
      <c r="M142" s="35"/>
      <c r="N142" s="38"/>
      <c r="O142" s="38"/>
      <c r="P142" s="39"/>
      <c r="Q142" s="47"/>
      <c r="R142" s="20"/>
      <c r="S142" s="20"/>
      <c r="T142" s="43"/>
      <c r="U142" s="32"/>
      <c r="V142" s="32"/>
    </row>
  </sheetData>
  <mergeCells count="17">
    <mergeCell ref="H122:I122"/>
    <mergeCell ref="J122:K122"/>
    <mergeCell ref="W5:X5"/>
    <mergeCell ref="H117:I117"/>
    <mergeCell ref="J117:K117"/>
    <mergeCell ref="S117:S118"/>
    <mergeCell ref="T117:T118"/>
    <mergeCell ref="H118:I118"/>
    <mergeCell ref="J118:K118"/>
    <mergeCell ref="N7:N116"/>
    <mergeCell ref="O7:O116"/>
    <mergeCell ref="A1:G1"/>
    <mergeCell ref="H1:K1"/>
    <mergeCell ref="M1:Q1"/>
    <mergeCell ref="R1:T1"/>
    <mergeCell ref="A5:K5"/>
    <mergeCell ref="M5:T5"/>
  </mergeCells>
  <phoneticPr fontId="5" type="noConversion"/>
  <pageMargins left="0.51180555555555496" right="0.51180555555555496" top="0.78749999999999998" bottom="0.78749999999999998" header="0.51180555555555496" footer="0.31527777777777799"/>
  <pageSetup paperSize="9" scale="66" firstPageNumber="0" fitToHeight="0" orientation="landscape" horizontalDpi="300" verticalDpi="300" r:id="rId1"/>
  <headerFoot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Planilha1</vt:lpstr>
      <vt:lpstr>Planilha1!_FilterDatabase</vt:lpstr>
      <vt:lpstr>Planilha1!Área_de_impresión</vt:lpstr>
      <vt:lpstr>Planilha1!Títulos_a_imprimir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Centroseguros Montevideo</dc:creator>
  <cp:lastModifiedBy>Maria Jose Gnazzo</cp:lastModifiedBy>
  <cp:lastPrinted>2024-09-23T14:16:09Z</cp:lastPrinted>
  <dcterms:created xsi:type="dcterms:W3CDTF">2024-07-22T14:45:18Z</dcterms:created>
  <dcterms:modified xsi:type="dcterms:W3CDTF">2025-12-10T12:26:55Z</dcterms:modified>
</cp:coreProperties>
</file>